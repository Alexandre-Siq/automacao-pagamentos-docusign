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20.4.170\ti\01.COORDENAÇÃO\01.Financeiro\02.CHE\2026\08.AGOSTO\VIVO\"/>
    </mc:Choice>
  </mc:AlternateContent>
  <xr:revisionPtr revIDLastSave="0" documentId="13_ncr:1_{AD322419-666D-45EC-AC47-3D1D39C35B18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CHE" sheetId="1" r:id="rId1"/>
    <sheet name="Rateio" sheetId="2" r:id="rId2"/>
  </sheets>
  <definedNames>
    <definedName name="_xlnm.Print_Area" localSheetId="0">CHE!$A$1:$L$45</definedName>
    <definedName name="_xlnm.Print_Area" localSheetId="1">Rateio!$A$1:$I$69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" i="1" l="1"/>
  <c r="H69" i="2"/>
  <c r="L67" i="2"/>
  <c r="B8" i="2"/>
  <c r="B7" i="2"/>
  <c r="B6" i="2"/>
  <c r="H9" i="1"/>
  <c r="H7" i="2" s="1"/>
  <c r="K8" i="2" l="1"/>
  <c r="H55" i="2"/>
  <c r="H22" i="2"/>
  <c r="H34" i="2"/>
  <c r="H46" i="2"/>
  <c r="H58" i="2"/>
  <c r="H32" i="2"/>
  <c r="H56" i="2"/>
  <c r="H33" i="2"/>
  <c r="H59" i="2"/>
  <c r="H45" i="2"/>
  <c r="H11" i="2"/>
  <c r="H23" i="2"/>
  <c r="H35" i="2"/>
  <c r="H47" i="2"/>
  <c r="H12" i="2"/>
  <c r="H24" i="2"/>
  <c r="H36" i="2"/>
  <c r="H48" i="2"/>
  <c r="H60" i="2"/>
  <c r="H14" i="2"/>
  <c r="H26" i="2"/>
  <c r="H38" i="2"/>
  <c r="H50" i="2"/>
  <c r="H15" i="2"/>
  <c r="H27" i="2"/>
  <c r="H39" i="2"/>
  <c r="H51" i="2"/>
  <c r="H17" i="2"/>
  <c r="H29" i="2"/>
  <c r="H41" i="2"/>
  <c r="H53" i="2"/>
  <c r="H20" i="2"/>
  <c r="H44" i="2"/>
  <c r="H21" i="2"/>
  <c r="H57" i="2"/>
  <c r="H13" i="2"/>
  <c r="H25" i="2"/>
  <c r="H37" i="2"/>
  <c r="H49" i="2"/>
  <c r="H61" i="2"/>
  <c r="H62" i="2"/>
  <c r="H63" i="2"/>
  <c r="H16" i="2"/>
  <c r="H28" i="2"/>
  <c r="H40" i="2"/>
  <c r="H52" i="2"/>
  <c r="H64" i="2"/>
  <c r="H65" i="2"/>
  <c r="H18" i="2"/>
  <c r="H30" i="2"/>
  <c r="H42" i="2"/>
  <c r="H54" i="2"/>
  <c r="H66" i="2"/>
  <c r="H19" i="2"/>
  <c r="H31" i="2"/>
  <c r="H43" i="2"/>
  <c r="I6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B30" authorId="0" shapeId="0" xr:uid="{00000000-0006-0000-0000-000001000000}">
      <text>
        <r>
          <rPr>
            <sz val="10"/>
            <rFont val="Arial"/>
            <family val="2"/>
          </rPr>
          <t xml:space="preserve">amdferreira:
</t>
        </r>
        <r>
          <rPr>
            <b/>
            <sz val="10"/>
            <color rgb="FF000000"/>
            <rFont val="Segoe UI"/>
            <family val="2"/>
            <charset val="1"/>
          </rPr>
          <t>PREENCHIMENTO PELO GESTOR DO CONTRATO OU GERENTE ADM
MÊS DE COMPETÊNCIA DA PRESTAÇÃO DO SERVIÇOS. ASSINALAR SE O PRAZO PARA PAGAMENTO ESTÁ IGUAL AO CONTRATO ASSINADO. ASSINALAR SE HÁ CONTRATO DIGITALIZADO NO TASY. ASSINALAR SE O VALOR DA NF ESTÁ IGUAL AO CONTRATO ASSINADO</t>
        </r>
      </text>
    </comment>
    <comment ref="L31" authorId="0" shapeId="0" xr:uid="{00000000-0006-0000-0000-000002000000}">
      <text>
        <r>
          <rPr>
            <sz val="10"/>
            <rFont val="Arial"/>
            <family val="2"/>
          </rPr>
          <t xml:space="preserve">amdferreira:
</t>
        </r>
        <r>
          <rPr>
            <sz val="9"/>
            <color rgb="FF000000"/>
            <rFont val="Segoe UI"/>
            <family val="2"/>
            <charset val="1"/>
          </rPr>
          <t>ASSINATURA E CARIMBO/ DATA DO GERENTE ADMINISTRATIVO DA UNIDADE</t>
        </r>
      </text>
    </comment>
  </commentList>
</comments>
</file>

<file path=xl/sharedStrings.xml><?xml version="1.0" encoding="utf-8"?>
<sst xmlns="http://schemas.openxmlformats.org/spreadsheetml/2006/main" count="104" uniqueCount="101">
  <si>
    <t>Complexo Hospitalar dos Estivadores</t>
  </si>
  <si>
    <t>SOLICITAÇÃO DE PAGAMENTO</t>
  </si>
  <si>
    <t>Fornecedor</t>
  </si>
  <si>
    <t>Contrato/Termo Aditivo ou Ordem de Compra Nº</t>
  </si>
  <si>
    <t>Telefônica Brasil S.A.</t>
  </si>
  <si>
    <t>Nº Nota Fiscal / Documento</t>
  </si>
  <si>
    <t>Vencimento</t>
  </si>
  <si>
    <t>Valor Bruto da Nota Fiscal</t>
  </si>
  <si>
    <t>Valor Líquido da Nota Fiscal</t>
  </si>
  <si>
    <t>Centro de Custo</t>
  </si>
  <si>
    <t>Anexo</t>
  </si>
  <si>
    <t>Rateio</t>
  </si>
  <si>
    <t>Pagamento Destinado à</t>
  </si>
  <si>
    <t>Conta telefônica do terminal 13 3228-3000.</t>
  </si>
  <si>
    <t xml:space="preserve">Dados Pagamentos </t>
  </si>
  <si>
    <t xml:space="preserve">Boleto  (X) Sim </t>
  </si>
  <si>
    <t>(   ) Não  - Preencher os dados bancários</t>
  </si>
  <si>
    <t>CNPJ ou CPF</t>
  </si>
  <si>
    <t>Conta corrente</t>
  </si>
  <si>
    <t>Agência</t>
  </si>
  <si>
    <t>Banco</t>
  </si>
  <si>
    <r>
      <rPr>
        <b/>
        <sz val="12"/>
        <color theme="1"/>
        <rFont val="Verdana"/>
        <family val="2"/>
        <charset val="1"/>
      </rPr>
      <t xml:space="preserve">TERMO DE RECEBIMENTO DE MATERIAIS, EQUIPAMENTOS E SERVIÇOS
</t>
    </r>
    <r>
      <rPr>
        <sz val="12"/>
        <color theme="1"/>
        <rFont val="Verdana"/>
        <family val="2"/>
        <charset val="1"/>
      </rPr>
      <t xml:space="preserve"> 
Atestamos o recebimento e ou Prestação de Serviços, de acordo com as INSTRUÇÕES Nº 01/2024 - (SEI nº 7766/2020-77)
Artigo 108 - Os órgãos e entidades deverão comunicar o término das obras, serviços e/ou fornecimentos, decorrentes dos contratos ou atos jurídicos análogos em exame neste Tribunal, nos termos do art. 73 da Lei Federal nº 8.666/93, ou do art. 140 da Lei Federal nº 14.133/2021, por meio dos seguintes documentos, quando for o caso:
I - termo circunstanciado de recebimento definitivo, com indicação expressa da existência ou não de pendências, reajustamentos ou acertos de qualquer natureza;
VI - declaração da autoridade pública responsável pelas obras, serviços e/ou fornecimentos, contendo informações sobre:
c) manifestação sobre a quantidade, qualidade, periodicidade, conformidade e perfeição das obras, serviços e/ou fornecimentos executados; e                                                                                                                                                                                                                                                                 d) na hipótese de não restarem quaisquer pendências, reajustamentos ou acertos de qualquer natureza, indicação expressa de que o contrato ou ato 
jurídico análogo foi integralmente cumprido.</t>
    </r>
  </si>
  <si>
    <t>Assinatura e Carimbo Responsável pelo Recebimento e Preenchimento</t>
  </si>
  <si>
    <t>Assinatura e Carimbo do Gestor da Área</t>
  </si>
  <si>
    <t>Carimbo e Assinatura da Diretoria da Unidade</t>
  </si>
  <si>
    <t>Campo para Preenchimento do Gestor do Contrato  (X) Não se aplica</t>
  </si>
  <si>
    <t>Carimbo e Assinatura</t>
  </si>
  <si>
    <t>Mês de Competência do Serviço Prestado:</t>
  </si>
  <si>
    <t>Valor Faturado é Igual ao Contratado?      ( ) Sim          ( ) Não</t>
  </si>
  <si>
    <t xml:space="preserve">Contrato e/ou Termo Aditivo Vigente?      ( ) Sim          ( ) Não </t>
  </si>
  <si>
    <t>_________________________________________________________________________________</t>
  </si>
  <si>
    <t>Campo para Preenchimento Financeiro - Matriz</t>
  </si>
  <si>
    <t xml:space="preserve">Carimbo e Assinatura </t>
  </si>
  <si>
    <t>RATEIO DE CENTROS DE CUSTOS</t>
  </si>
  <si>
    <t>Fornecedor:</t>
  </si>
  <si>
    <t>Nº. NF:</t>
  </si>
  <si>
    <t>Emissão:</t>
  </si>
  <si>
    <t>Valor:</t>
  </si>
  <si>
    <t>Período:</t>
  </si>
  <si>
    <t>Cód.</t>
  </si>
  <si>
    <t>Setor</t>
  </si>
  <si>
    <t>QTD</t>
  </si>
  <si>
    <t>Agência Transfusional</t>
  </si>
  <si>
    <t>Almoxarifado</t>
  </si>
  <si>
    <t>Alojamento Conjunto - 3º andar</t>
  </si>
  <si>
    <t>Alojamento Conjunto - 4º andar</t>
  </si>
  <si>
    <t>Ambulatório Médico</t>
  </si>
  <si>
    <t>Centro Cirúrgico</t>
  </si>
  <si>
    <t>Centro Obstétrico</t>
  </si>
  <si>
    <t>Clínica Cirúrgica</t>
  </si>
  <si>
    <t>CME - Central de Materiais Esterilizados</t>
  </si>
  <si>
    <t>Diretoria Geral</t>
  </si>
  <si>
    <t>EDA/ Colono/ Bronco</t>
  </si>
  <si>
    <t>Educação Continuada</t>
  </si>
  <si>
    <t>Engenharia Clínica</t>
  </si>
  <si>
    <t>Farmácia Central</t>
  </si>
  <si>
    <t>Farmácia Satélite CO/CC</t>
  </si>
  <si>
    <t>Farmácia Satélite UTI Neo/Adulto</t>
  </si>
  <si>
    <t>Auditoria de Contas Médicas/Faturamento</t>
  </si>
  <si>
    <t>Financeiro</t>
  </si>
  <si>
    <t>Fonoaudiologia</t>
  </si>
  <si>
    <t>Gente &amp; Gestão</t>
  </si>
  <si>
    <t>Gerência Administrativa e Apoio</t>
  </si>
  <si>
    <t>Gerência Assistencial</t>
  </si>
  <si>
    <t>Gerência de atendimento</t>
  </si>
  <si>
    <t>Gerência Médica</t>
  </si>
  <si>
    <t>Higiene e Limpeza</t>
  </si>
  <si>
    <t>Hotelaria</t>
  </si>
  <si>
    <t>Lab Anatomia Patologica</t>
  </si>
  <si>
    <t>Laboratório de Análises Clínicas</t>
  </si>
  <si>
    <t>Lactário</t>
  </si>
  <si>
    <t>Lider de Ala</t>
  </si>
  <si>
    <t>Manutenção Predial</t>
  </si>
  <si>
    <t>NIR - Núcleo Interno de Regulação</t>
  </si>
  <si>
    <t>Nutrição</t>
  </si>
  <si>
    <t>Pronto Atendimento Obstetríco</t>
  </si>
  <si>
    <t>Psicologia</t>
  </si>
  <si>
    <t>Qualidade</t>
  </si>
  <si>
    <t>Raios-X</t>
  </si>
  <si>
    <t>Recepção Central</t>
  </si>
  <si>
    <t>Recepção SADT</t>
  </si>
  <si>
    <t>Rouparia</t>
  </si>
  <si>
    <t>SAME - Serviço de Arquivo Médico e Estatística</t>
  </si>
  <si>
    <t>SCIH - Serviço de Controle de Infecção Hospitalar</t>
  </si>
  <si>
    <t>Segurança e Portaria</t>
  </si>
  <si>
    <t>Serviço Social</t>
  </si>
  <si>
    <t>SESMT - Serv. Esp. Segurança em Medicina do Trabalho</t>
  </si>
  <si>
    <t xml:space="preserve">SND - Serviço de Nutrição e Dietética </t>
  </si>
  <si>
    <t>Tecnologia da Informação</t>
  </si>
  <si>
    <t>Telefonia</t>
  </si>
  <si>
    <t>Tomografia Computadorizada</t>
  </si>
  <si>
    <t>U.I Clínica Médica  - 5º andar</t>
  </si>
  <si>
    <t>U.I Clínica Médica - 6º andar</t>
  </si>
  <si>
    <t>U.I Clínica Médica - 7º andar</t>
  </si>
  <si>
    <t>U.I. Clínica Médica  - 8º andar</t>
  </si>
  <si>
    <t>Ultrassonografia</t>
  </si>
  <si>
    <t>UTI Adulto</t>
  </si>
  <si>
    <t>UTI Neonatal</t>
  </si>
  <si>
    <t>Elaborado por:</t>
  </si>
  <si>
    <t>Data:</t>
  </si>
  <si>
    <t>Alexandre Siqueira Souza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</si>
</sst>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 &quot;* #,##0.00_-;&quot;-R$ &quot;* #,##0.00_-;_-&quot;R$ &quot;* \-??_-;_-@_-"/>
    <numFmt numFmtId="165" formatCode="d/m/yyyy"/>
    <numFmt numFmtId="166" formatCode="&quot;R$ &quot;#,##0.00;[Red]&quot;-R$ &quot;#,##0.00"/>
    <numFmt numFmtId="167" formatCode="&quot;R$ &quot;#,##0.00_);[Red]&quot;(R$ &quot;#,##0.00\)"/>
    <numFmt numFmtId="168" formatCode="_-[$R$-416]\ * #,##0.00_-;\-[$R$-416]\ * #,##0.00_-;_-[$R$-416]\ * \-??_-;_-@_-"/>
  </numFmts>
  <fonts count="35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22"/>
      <name val="Candara"/>
      <family val="2"/>
      <charset val="1"/>
    </font>
    <font>
      <sz val="22"/>
      <name val="Arial"/>
      <family val="2"/>
      <charset val="1"/>
    </font>
    <font>
      <sz val="18"/>
      <name val="Arial"/>
      <family val="2"/>
      <charset val="1"/>
    </font>
    <font>
      <b/>
      <sz val="22"/>
      <name val="Candara"/>
      <family val="2"/>
      <charset val="1"/>
    </font>
    <font>
      <sz val="10"/>
      <name val="Arial"/>
      <family val="2"/>
      <charset val="1"/>
    </font>
    <font>
      <b/>
      <sz val="16"/>
      <color theme="0"/>
      <name val="Verdana"/>
      <family val="2"/>
      <charset val="1"/>
    </font>
    <font>
      <b/>
      <sz val="14"/>
      <color theme="0"/>
      <name val="Verdana"/>
      <family val="2"/>
      <charset val="1"/>
    </font>
    <font>
      <b/>
      <sz val="18"/>
      <color theme="1"/>
      <name val="Verdana"/>
      <family val="2"/>
      <charset val="1"/>
    </font>
    <font>
      <sz val="10"/>
      <color theme="1"/>
      <name val="Arial"/>
      <family val="2"/>
      <charset val="1"/>
    </font>
    <font>
      <b/>
      <sz val="13"/>
      <color theme="0"/>
      <name val="Verdana"/>
      <family val="2"/>
      <charset val="1"/>
    </font>
    <font>
      <sz val="16"/>
      <color theme="1"/>
      <name val="Arial"/>
      <family val="2"/>
      <charset val="1"/>
    </font>
    <font>
      <sz val="13"/>
      <color theme="1"/>
      <name val="Verdana"/>
      <family val="2"/>
      <charset val="1"/>
    </font>
    <font>
      <sz val="16"/>
      <name val="Arial"/>
      <family val="2"/>
      <charset val="1"/>
    </font>
    <font>
      <b/>
      <sz val="7"/>
      <color rgb="FF0000FF"/>
      <name val="Arial"/>
      <family val="2"/>
      <charset val="1"/>
    </font>
    <font>
      <sz val="13"/>
      <color theme="1"/>
      <name val="Arial"/>
      <family val="2"/>
      <charset val="1"/>
    </font>
    <font>
      <b/>
      <sz val="13"/>
      <color theme="1"/>
      <name val="Verdana"/>
      <family val="2"/>
      <charset val="1"/>
    </font>
    <font>
      <b/>
      <sz val="12"/>
      <color theme="1"/>
      <name val="Verdana"/>
      <family val="2"/>
      <charset val="1"/>
    </font>
    <font>
      <sz val="12"/>
      <color theme="1"/>
      <name val="Verdana"/>
      <family val="2"/>
      <charset val="1"/>
    </font>
    <font>
      <sz val="10"/>
      <name val="Arial"/>
      <family val="2"/>
    </font>
    <font>
      <b/>
      <sz val="10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b/>
      <sz val="12"/>
      <color rgb="FF000000"/>
      <name val="Verdana"/>
      <family val="2"/>
      <charset val="1"/>
    </font>
    <font>
      <sz val="12"/>
      <name val="Verdana"/>
      <family val="2"/>
      <charset val="1"/>
    </font>
    <font>
      <b/>
      <sz val="10"/>
      <color rgb="FFFFFFFF"/>
      <name val="Verdana"/>
      <family val="2"/>
      <charset val="1"/>
    </font>
    <font>
      <sz val="10"/>
      <color rgb="FF000000"/>
      <name val="Verdana"/>
      <family val="2"/>
      <charset val="1"/>
    </font>
    <font>
      <sz val="12"/>
      <color rgb="FF000000"/>
      <name val="Verdana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Calibri Light"/>
      <family val="2"/>
      <charset val="1"/>
    </font>
    <font>
      <b/>
      <sz val="10"/>
      <color rgb="FF000000"/>
      <name val="Calibri"/>
      <family val="2"/>
      <charset val="1"/>
    </font>
    <font>
      <b/>
      <u/>
      <sz val="10"/>
      <color rgb="FF000000"/>
      <name val="Calibri"/>
      <family val="2"/>
      <charset val="1"/>
    </font>
    <font>
      <sz val="10"/>
      <name val="Verdana"/>
      <family val="2"/>
      <charset val="1"/>
    </font>
    <font>
      <b/>
      <sz val="10"/>
      <color rgb="FF000000"/>
      <name val="Verdana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9999"/>
        <bgColor rgb="FF008080"/>
      </patternFill>
    </fill>
    <fill>
      <patternFill patternType="solid">
        <fgColor rgb="FF008080"/>
        <bgColor rgb="FF009999"/>
      </patternFill>
    </fill>
  </fills>
  <borders count="2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80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rgb="FFBFBFBF"/>
      </bottom>
      <diagonal/>
    </border>
  </borders>
  <cellStyleXfs count="4">
    <xf numFmtId="0" fontId="0" fillId="0" borderId="0"/>
    <xf numFmtId="164" fontId="34" fillId="0" borderId="0" applyBorder="0" applyProtection="0"/>
    <xf numFmtId="164" fontId="1" fillId="0" borderId="0" applyBorder="0" applyProtection="0"/>
    <xf numFmtId="0" fontId="1" fillId="0" borderId="0"/>
  </cellStyleXfs>
  <cellXfs count="109">
    <xf numFmtId="0" fontId="0" fillId="0" borderId="0" xfId="0"/>
    <xf numFmtId="0" fontId="11" fillId="3" borderId="2" xfId="0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6" fillId="0" borderId="0" xfId="0" applyFont="1"/>
    <xf numFmtId="0" fontId="10" fillId="0" borderId="0" xfId="0" applyFont="1"/>
    <xf numFmtId="0" fontId="15" fillId="0" borderId="0" xfId="0" applyFont="1" applyAlignment="1">
      <alignment vertical="top" wrapText="1"/>
    </xf>
    <xf numFmtId="0" fontId="16" fillId="0" borderId="9" xfId="0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16" fillId="0" borderId="4" xfId="0" applyFont="1" applyBorder="1" applyAlignment="1" applyProtection="1">
      <alignment horizontal="center"/>
      <protection locked="0"/>
    </xf>
    <xf numFmtId="0" fontId="13" fillId="2" borderId="0" xfId="0" applyFont="1" applyFill="1" applyAlignment="1">
      <alignment horizontal="left"/>
    </xf>
    <xf numFmtId="0" fontId="13" fillId="2" borderId="0" xfId="0" applyFont="1" applyFill="1"/>
    <xf numFmtId="0" fontId="17" fillId="2" borderId="10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9" fillId="2" borderId="11" xfId="0" applyFont="1" applyFill="1" applyBorder="1" applyProtection="1">
      <protection locked="0"/>
    </xf>
    <xf numFmtId="0" fontId="11" fillId="3" borderId="13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5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17" fontId="17" fillId="2" borderId="15" xfId="0" applyNumberFormat="1" applyFont="1" applyFill="1" applyBorder="1" applyAlignment="1" applyProtection="1">
      <alignment horizontal="left" vertical="center"/>
      <protection locked="0"/>
    </xf>
    <xf numFmtId="0" fontId="17" fillId="2" borderId="15" xfId="0" applyFont="1" applyFill="1" applyBorder="1" applyAlignment="1" applyProtection="1">
      <alignment vertical="center"/>
      <protection locked="0"/>
    </xf>
    <xf numFmtId="0" fontId="17" fillId="2" borderId="16" xfId="0" applyFont="1" applyFill="1" applyBorder="1" applyAlignment="1" applyProtection="1">
      <alignment vertical="center"/>
      <protection locked="0"/>
    </xf>
    <xf numFmtId="0" fontId="10" fillId="0" borderId="1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7" fillId="2" borderId="9" xfId="0" applyFont="1" applyFill="1" applyBorder="1" applyAlignment="1" applyProtection="1">
      <alignment horizontal="left" vertical="center"/>
      <protection locked="0"/>
    </xf>
    <xf numFmtId="0" fontId="17" fillId="2" borderId="1" xfId="0" applyFont="1" applyFill="1" applyBorder="1" applyAlignment="1" applyProtection="1">
      <alignment vertical="center"/>
      <protection locked="0"/>
    </xf>
    <xf numFmtId="165" fontId="18" fillId="0" borderId="6" xfId="0" applyNumberFormat="1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1" fillId="3" borderId="16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11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165" fontId="18" fillId="0" borderId="4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4" borderId="18" xfId="0" applyFont="1" applyFill="1" applyBorder="1" applyAlignment="1">
      <alignment vertical="center"/>
    </xf>
    <xf numFmtId="0" fontId="25" fillId="4" borderId="20" xfId="0" applyFont="1" applyFill="1" applyBorder="1" applyAlignment="1">
      <alignment vertical="center"/>
    </xf>
    <xf numFmtId="0" fontId="25" fillId="4" borderId="2" xfId="0" applyFont="1" applyFill="1" applyBorder="1" applyAlignment="1">
      <alignment horizontal="center" vertical="center"/>
    </xf>
    <xf numFmtId="165" fontId="25" fillId="4" borderId="2" xfId="0" applyNumberFormat="1" applyFont="1" applyFill="1" applyBorder="1" applyAlignment="1">
      <alignment horizontal="center" vertical="center"/>
    </xf>
    <xf numFmtId="0" fontId="25" fillId="4" borderId="22" xfId="0" applyFont="1" applyFill="1" applyBorder="1" applyAlignment="1">
      <alignment vertical="center"/>
    </xf>
    <xf numFmtId="4" fontId="24" fillId="0" borderId="0" xfId="0" applyNumberFormat="1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27" fillId="0" borderId="0" xfId="0" applyFont="1" applyAlignment="1" applyProtection="1">
      <alignment horizontal="center" vertical="center" wrapText="1"/>
      <protection locked="0"/>
    </xf>
    <xf numFmtId="0" fontId="25" fillId="4" borderId="24" xfId="0" applyFont="1" applyFill="1" applyBorder="1" applyAlignment="1">
      <alignment horizontal="center" vertical="center" wrapText="1"/>
    </xf>
    <xf numFmtId="0" fontId="28" fillId="0" borderId="2" xfId="0" applyFont="1" applyBorder="1"/>
    <xf numFmtId="1" fontId="30" fillId="0" borderId="26" xfId="3" applyNumberFormat="1" applyFont="1" applyBorder="1" applyAlignment="1" applyProtection="1">
      <alignment horizontal="center" vertical="center"/>
      <protection locked="0"/>
    </xf>
    <xf numFmtId="1" fontId="31" fillId="0" borderId="26" xfId="3" applyNumberFormat="1" applyFont="1" applyBorder="1" applyAlignment="1" applyProtection="1">
      <alignment horizontal="center" vertical="center"/>
      <protection locked="0"/>
    </xf>
    <xf numFmtId="164" fontId="24" fillId="0" borderId="0" xfId="0" applyNumberFormat="1" applyFont="1" applyAlignment="1">
      <alignment vertical="center"/>
    </xf>
    <xf numFmtId="0" fontId="28" fillId="0" borderId="0" xfId="0" applyFont="1"/>
    <xf numFmtId="164" fontId="32" fillId="0" borderId="0" xfId="0" applyNumberFormat="1" applyFont="1" applyAlignment="1">
      <alignment vertical="center"/>
    </xf>
    <xf numFmtId="1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/>
    </xf>
    <xf numFmtId="14" fontId="14" fillId="0" borderId="2" xfId="0" applyNumberFormat="1" applyFont="1" applyBorder="1" applyAlignment="1">
      <alignment horizontal="center" vertical="center"/>
    </xf>
    <xf numFmtId="0" fontId="17" fillId="2" borderId="8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/>
    </xf>
    <xf numFmtId="0" fontId="11" fillId="3" borderId="2" xfId="0" applyFont="1" applyFill="1" applyBorder="1" applyAlignment="1">
      <alignment horizontal="center" vertical="center"/>
    </xf>
    <xf numFmtId="164" fontId="17" fillId="2" borderId="0" xfId="1" applyFont="1" applyFill="1" applyBorder="1" applyAlignment="1" applyProtection="1">
      <alignment horizontal="center" vertical="center"/>
    </xf>
    <xf numFmtId="0" fontId="10" fillId="0" borderId="11" xfId="0" applyFont="1" applyBorder="1" applyAlignment="1">
      <alignment horizontal="center"/>
    </xf>
    <xf numFmtId="0" fontId="17" fillId="2" borderId="8" xfId="0" applyFont="1" applyFill="1" applyBorder="1" applyAlignment="1" applyProtection="1">
      <alignment horizontal="left" vertical="center"/>
      <protection locked="0"/>
    </xf>
    <xf numFmtId="0" fontId="19" fillId="2" borderId="2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 applyProtection="1">
      <alignment horizontal="center" vertical="center"/>
      <protection locked="0"/>
    </xf>
    <xf numFmtId="49" fontId="12" fillId="2" borderId="12" xfId="0" applyNumberFormat="1" applyFont="1" applyFill="1" applyBorder="1" applyAlignment="1" applyProtection="1">
      <alignment horizontal="center" vertical="center"/>
      <protection locked="0"/>
    </xf>
    <xf numFmtId="49" fontId="12" fillId="2" borderId="2" xfId="0" applyNumberFormat="1" applyFont="1" applyFill="1" applyBorder="1" applyAlignment="1" applyProtection="1">
      <alignment horizontal="center" vertical="center"/>
      <protection locked="0"/>
    </xf>
    <xf numFmtId="4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1" xfId="0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 applyProtection="1">
      <alignment horizontal="center" vertical="center" wrapText="1"/>
      <protection locked="0"/>
    </xf>
    <xf numFmtId="0" fontId="17" fillId="2" borderId="11" xfId="0" applyFont="1" applyFill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/>
    </xf>
    <xf numFmtId="0" fontId="16" fillId="0" borderId="6" xfId="0" applyFont="1" applyBorder="1" applyAlignment="1" applyProtection="1">
      <alignment horizontal="left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6" xfId="0" applyFont="1" applyBorder="1" applyAlignment="1">
      <alignment horizontal="center" vertical="center" wrapText="1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166" fontId="12" fillId="2" borderId="2" xfId="1" applyNumberFormat="1" applyFont="1" applyFill="1" applyBorder="1" applyAlignment="1" applyProtection="1">
      <alignment horizontal="center" vertical="center"/>
      <protection locked="0"/>
    </xf>
    <xf numFmtId="167" fontId="12" fillId="2" borderId="2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 applyProtection="1">
      <alignment horizontal="center"/>
      <protection locked="0"/>
    </xf>
    <xf numFmtId="0" fontId="12" fillId="2" borderId="2" xfId="0" applyFont="1" applyFill="1" applyBorder="1" applyAlignment="1" applyProtection="1">
      <alignment horizontal="left" vertical="center"/>
      <protection locked="0"/>
    </xf>
    <xf numFmtId="0" fontId="13" fillId="2" borderId="4" xfId="0" applyFont="1" applyFill="1" applyBorder="1" applyAlignment="1" applyProtection="1">
      <alignment horizontal="center" vertical="center"/>
      <protection locked="0"/>
    </xf>
    <xf numFmtId="0" fontId="11" fillId="3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center" vertical="center" wrapText="1"/>
    </xf>
    <xf numFmtId="14" fontId="8" fillId="3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0" fontId="29" fillId="0" borderId="2" xfId="3" applyFont="1" applyBorder="1" applyAlignment="1">
      <alignment horizontal="center" vertical="center"/>
    </xf>
    <xf numFmtId="164" fontId="26" fillId="0" borderId="6" xfId="1" applyFont="1" applyBorder="1" applyAlignment="1" applyProtection="1">
      <alignment horizontal="center" vertical="center" wrapText="1"/>
      <protection locked="0"/>
    </xf>
    <xf numFmtId="164" fontId="26" fillId="0" borderId="2" xfId="1" applyFont="1" applyBorder="1" applyAlignment="1" applyProtection="1">
      <alignment horizontal="center" vertical="center" wrapText="1"/>
      <protection locked="0"/>
    </xf>
    <xf numFmtId="0" fontId="23" fillId="0" borderId="17" xfId="0" applyFont="1" applyBorder="1" applyAlignment="1">
      <alignment horizontal="center" vertical="center"/>
    </xf>
    <xf numFmtId="0" fontId="26" fillId="0" borderId="19" xfId="0" applyFont="1" applyBorder="1" applyAlignment="1" applyProtection="1">
      <alignment horizontal="left" vertical="center"/>
      <protection locked="0"/>
    </xf>
    <xf numFmtId="1" fontId="26" fillId="0" borderId="2" xfId="0" applyNumberFormat="1" applyFont="1" applyBorder="1" applyAlignment="1" applyProtection="1">
      <alignment horizontal="center" vertical="center"/>
      <protection locked="0"/>
    </xf>
    <xf numFmtId="14" fontId="26" fillId="0" borderId="2" xfId="0" applyNumberFormat="1" applyFont="1" applyBorder="1" applyAlignment="1" applyProtection="1">
      <alignment horizontal="center" vertical="center"/>
      <protection locked="0"/>
    </xf>
    <xf numFmtId="168" fontId="26" fillId="0" borderId="21" xfId="1" applyNumberFormat="1" applyFont="1" applyBorder="1" applyAlignment="1" applyProtection="1">
      <alignment horizontal="center" vertical="center"/>
      <protection locked="0"/>
    </xf>
    <xf numFmtId="17" fontId="26" fillId="0" borderId="23" xfId="0" applyNumberFormat="1" applyFont="1" applyBorder="1" applyAlignment="1" applyProtection="1">
      <alignment horizontal="left" vertical="center"/>
      <protection locked="0"/>
    </xf>
    <xf numFmtId="0" fontId="25" fillId="4" borderId="24" xfId="0" applyFont="1" applyFill="1" applyBorder="1" applyAlignment="1">
      <alignment horizontal="center" vertical="center" wrapText="1"/>
    </xf>
    <xf numFmtId="0" fontId="25" fillId="4" borderId="25" xfId="0" applyFont="1" applyFill="1" applyBorder="1" applyAlignment="1">
      <alignment horizontal="center" vertical="center" wrapText="1"/>
    </xf>
    <xf numFmtId="164" fontId="26" fillId="0" borderId="4" xfId="1" applyFont="1" applyBorder="1" applyAlignment="1" applyProtection="1">
      <alignment horizontal="center" vertical="center" wrapText="1"/>
      <protection locked="0"/>
    </xf>
  </cellXfs>
  <cellStyles count="4">
    <cellStyle name="Moeda" xfId="1" builtinId="4"/>
    <cellStyle name="Moeda 2" xfId="2" xr:uid="{00000000-0005-0000-0000-000006000000}"/>
    <cellStyle name="Normal" xfId="0" builtinId="0"/>
    <cellStyle name="Normal 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999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219240</xdr:colOff>
      <xdr:row>0</xdr:row>
      <xdr:rowOff>209520</xdr:rowOff>
    </xdr:from>
    <xdr:to>
      <xdr:col>2</xdr:col>
      <xdr:colOff>342720</xdr:colOff>
      <xdr:row>1</xdr:row>
      <xdr:rowOff>583200</xdr:rowOff>
    </xdr:to>
    <xdr:pic>
      <xdr:nvPicPr>
        <xdr:cNvPr id="2" name="Imagem 1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0880" y="209520"/>
          <a:ext cx="349092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1</xdr:col>
      <xdr:colOff>219240</xdr:colOff>
      <xdr:row>0</xdr:row>
      <xdr:rowOff>209520</xdr:rowOff>
    </xdr:from>
    <xdr:to>
      <xdr:col>2</xdr:col>
      <xdr:colOff>342720</xdr:colOff>
      <xdr:row>1</xdr:row>
      <xdr:rowOff>583200</xdr:rowOff>
    </xdr:to>
    <xdr:pic>
      <xdr:nvPicPr>
        <xdr:cNvPr id="3" name="Imagem 2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0880" y="209520"/>
          <a:ext cx="3490920" cy="713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639720</xdr:colOff>
      <xdr:row>1</xdr:row>
      <xdr:rowOff>30960</xdr:rowOff>
    </xdr:from>
    <xdr:to>
      <xdr:col>8</xdr:col>
      <xdr:colOff>1153800</xdr:colOff>
      <xdr:row>4</xdr:row>
      <xdr:rowOff>27360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alphaModFix amt="0"/>
        </a:blip>
        <a:stretch/>
      </xdr:blipFill>
      <xdr:spPr>
        <a:xfrm>
          <a:off x="6216840" y="173880"/>
          <a:ext cx="514080" cy="4251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95400</xdr:colOff>
      <xdr:row>1</xdr:row>
      <xdr:rowOff>115920</xdr:rowOff>
    </xdr:from>
    <xdr:to>
      <xdr:col>1</xdr:col>
      <xdr:colOff>327960</xdr:colOff>
      <xdr:row>3</xdr:row>
      <xdr:rowOff>37800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5400" y="258840"/>
          <a:ext cx="1407240" cy="207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VQ47"/>
  <sheetViews>
    <sheetView showGridLines="0" zoomScale="70" zoomScaleNormal="70" zoomScalePageLayoutView="70" workbookViewId="0">
      <selection activeCell="B32" sqref="B32:K32"/>
    </sheetView>
  </sheetViews>
  <sheetFormatPr defaultColWidth="8.7109375" defaultRowHeight="15" x14ac:dyDescent="0.25"/>
  <cols>
    <col min="2" max="2" width="47.7109375" customWidth="1"/>
    <col min="3" max="3" width="14.42578125" customWidth="1"/>
    <col min="4" max="4" width="24.5703125" customWidth="1"/>
    <col min="5" max="5" width="18.42578125" customWidth="1"/>
    <col min="6" max="6" width="14.7109375" customWidth="1"/>
    <col min="7" max="7" width="21.42578125" customWidth="1"/>
    <col min="8" max="10" width="5" customWidth="1"/>
    <col min="11" max="11" width="8" customWidth="1"/>
    <col min="12" max="12" width="74" customWidth="1"/>
    <col min="16" max="16" width="13.28515625" customWidth="1"/>
    <col min="258" max="258" width="47.7109375" customWidth="1"/>
    <col min="259" max="259" width="8.7109375" customWidth="1"/>
    <col min="260" max="260" width="32.7109375" customWidth="1"/>
    <col min="261" max="261" width="6" customWidth="1"/>
    <col min="262" max="262" width="14.7109375" customWidth="1"/>
    <col min="263" max="263" width="23.42578125" customWidth="1"/>
    <col min="264" max="264" width="0.5703125" customWidth="1"/>
    <col min="265" max="265" width="11.5703125" hidden="1" customWidth="1"/>
    <col min="266" max="266" width="6.7109375" customWidth="1"/>
    <col min="267" max="267" width="8" customWidth="1"/>
    <col min="268" max="268" width="66.7109375" customWidth="1"/>
    <col min="272" max="272" width="13.28515625" customWidth="1"/>
    <col min="514" max="514" width="47.7109375" customWidth="1"/>
    <col min="515" max="515" width="8.7109375" customWidth="1"/>
    <col min="516" max="516" width="32.7109375" customWidth="1"/>
    <col min="517" max="517" width="6" customWidth="1"/>
    <col min="518" max="518" width="14.7109375" customWidth="1"/>
    <col min="519" max="519" width="23.42578125" customWidth="1"/>
    <col min="520" max="520" width="0.5703125" customWidth="1"/>
    <col min="521" max="521" width="11.5703125" hidden="1" customWidth="1"/>
    <col min="522" max="522" width="6.7109375" customWidth="1"/>
    <col min="523" max="523" width="8" customWidth="1"/>
    <col min="524" max="524" width="66.7109375" customWidth="1"/>
    <col min="528" max="528" width="13.28515625" customWidth="1"/>
    <col min="770" max="770" width="47.7109375" customWidth="1"/>
    <col min="771" max="771" width="8.7109375" customWidth="1"/>
    <col min="772" max="772" width="32.7109375" customWidth="1"/>
    <col min="773" max="773" width="6" customWidth="1"/>
    <col min="774" max="774" width="14.7109375" customWidth="1"/>
    <col min="775" max="775" width="23.42578125" customWidth="1"/>
    <col min="776" max="776" width="0.5703125" customWidth="1"/>
    <col min="777" max="777" width="11.5703125" hidden="1" customWidth="1"/>
    <col min="778" max="778" width="6.7109375" customWidth="1"/>
    <col min="779" max="779" width="8" customWidth="1"/>
    <col min="780" max="780" width="66.7109375" customWidth="1"/>
    <col min="784" max="784" width="13.28515625" customWidth="1"/>
    <col min="1026" max="1026" width="47.7109375" customWidth="1"/>
    <col min="1027" max="1027" width="8.7109375" customWidth="1"/>
    <col min="1028" max="1028" width="32.7109375" customWidth="1"/>
    <col min="1029" max="1029" width="6" customWidth="1"/>
    <col min="1030" max="1030" width="14.7109375" customWidth="1"/>
    <col min="1031" max="1031" width="23.42578125" customWidth="1"/>
    <col min="1032" max="1032" width="0.5703125" customWidth="1"/>
    <col min="1033" max="1033" width="11.5703125" hidden="1" customWidth="1"/>
    <col min="1034" max="1034" width="6.7109375" customWidth="1"/>
    <col min="1035" max="1035" width="8" customWidth="1"/>
    <col min="1036" max="1036" width="66.7109375" customWidth="1"/>
    <col min="1040" max="1040" width="13.28515625" customWidth="1"/>
    <col min="1282" max="1282" width="47.7109375" customWidth="1"/>
    <col min="1283" max="1283" width="8.7109375" customWidth="1"/>
    <col min="1284" max="1284" width="32.7109375" customWidth="1"/>
    <col min="1285" max="1285" width="6" customWidth="1"/>
    <col min="1286" max="1286" width="14.7109375" customWidth="1"/>
    <col min="1287" max="1287" width="23.42578125" customWidth="1"/>
    <col min="1288" max="1288" width="0.5703125" customWidth="1"/>
    <col min="1289" max="1289" width="11.5703125" hidden="1" customWidth="1"/>
    <col min="1290" max="1290" width="6.7109375" customWidth="1"/>
    <col min="1291" max="1291" width="8" customWidth="1"/>
    <col min="1292" max="1292" width="66.7109375" customWidth="1"/>
    <col min="1296" max="1296" width="13.28515625" customWidth="1"/>
    <col min="1538" max="1538" width="47.7109375" customWidth="1"/>
    <col min="1539" max="1539" width="8.7109375" customWidth="1"/>
    <col min="1540" max="1540" width="32.7109375" customWidth="1"/>
    <col min="1541" max="1541" width="6" customWidth="1"/>
    <col min="1542" max="1542" width="14.7109375" customWidth="1"/>
    <col min="1543" max="1543" width="23.42578125" customWidth="1"/>
    <col min="1544" max="1544" width="0.5703125" customWidth="1"/>
    <col min="1545" max="1545" width="11.5703125" hidden="1" customWidth="1"/>
    <col min="1546" max="1546" width="6.7109375" customWidth="1"/>
    <col min="1547" max="1547" width="8" customWidth="1"/>
    <col min="1548" max="1548" width="66.7109375" customWidth="1"/>
    <col min="1552" max="1552" width="13.28515625" customWidth="1"/>
    <col min="1794" max="1794" width="47.7109375" customWidth="1"/>
    <col min="1795" max="1795" width="8.7109375" customWidth="1"/>
    <col min="1796" max="1796" width="32.7109375" customWidth="1"/>
    <col min="1797" max="1797" width="6" customWidth="1"/>
    <col min="1798" max="1798" width="14.7109375" customWidth="1"/>
    <col min="1799" max="1799" width="23.42578125" customWidth="1"/>
    <col min="1800" max="1800" width="0.5703125" customWidth="1"/>
    <col min="1801" max="1801" width="11.5703125" hidden="1" customWidth="1"/>
    <col min="1802" max="1802" width="6.7109375" customWidth="1"/>
    <col min="1803" max="1803" width="8" customWidth="1"/>
    <col min="1804" max="1804" width="66.7109375" customWidth="1"/>
    <col min="1808" max="1808" width="13.28515625" customWidth="1"/>
    <col min="2050" max="2050" width="47.7109375" customWidth="1"/>
    <col min="2051" max="2051" width="8.7109375" customWidth="1"/>
    <col min="2052" max="2052" width="32.7109375" customWidth="1"/>
    <col min="2053" max="2053" width="6" customWidth="1"/>
    <col min="2054" max="2054" width="14.7109375" customWidth="1"/>
    <col min="2055" max="2055" width="23.42578125" customWidth="1"/>
    <col min="2056" max="2056" width="0.5703125" customWidth="1"/>
    <col min="2057" max="2057" width="11.5703125" hidden="1" customWidth="1"/>
    <col min="2058" max="2058" width="6.7109375" customWidth="1"/>
    <col min="2059" max="2059" width="8" customWidth="1"/>
    <col min="2060" max="2060" width="66.7109375" customWidth="1"/>
    <col min="2064" max="2064" width="13.28515625" customWidth="1"/>
    <col min="2306" max="2306" width="47.7109375" customWidth="1"/>
    <col min="2307" max="2307" width="8.7109375" customWidth="1"/>
    <col min="2308" max="2308" width="32.7109375" customWidth="1"/>
    <col min="2309" max="2309" width="6" customWidth="1"/>
    <col min="2310" max="2310" width="14.7109375" customWidth="1"/>
    <col min="2311" max="2311" width="23.42578125" customWidth="1"/>
    <col min="2312" max="2312" width="0.5703125" customWidth="1"/>
    <col min="2313" max="2313" width="11.5703125" hidden="1" customWidth="1"/>
    <col min="2314" max="2314" width="6.7109375" customWidth="1"/>
    <col min="2315" max="2315" width="8" customWidth="1"/>
    <col min="2316" max="2316" width="66.7109375" customWidth="1"/>
    <col min="2320" max="2320" width="13.28515625" customWidth="1"/>
    <col min="2562" max="2562" width="47.7109375" customWidth="1"/>
    <col min="2563" max="2563" width="8.7109375" customWidth="1"/>
    <col min="2564" max="2564" width="32.7109375" customWidth="1"/>
    <col min="2565" max="2565" width="6" customWidth="1"/>
    <col min="2566" max="2566" width="14.7109375" customWidth="1"/>
    <col min="2567" max="2567" width="23.42578125" customWidth="1"/>
    <col min="2568" max="2568" width="0.5703125" customWidth="1"/>
    <col min="2569" max="2569" width="11.5703125" hidden="1" customWidth="1"/>
    <col min="2570" max="2570" width="6.7109375" customWidth="1"/>
    <col min="2571" max="2571" width="8" customWidth="1"/>
    <col min="2572" max="2572" width="66.7109375" customWidth="1"/>
    <col min="2576" max="2576" width="13.28515625" customWidth="1"/>
    <col min="2818" max="2818" width="47.7109375" customWidth="1"/>
    <col min="2819" max="2819" width="8.7109375" customWidth="1"/>
    <col min="2820" max="2820" width="32.7109375" customWidth="1"/>
    <col min="2821" max="2821" width="6" customWidth="1"/>
    <col min="2822" max="2822" width="14.7109375" customWidth="1"/>
    <col min="2823" max="2823" width="23.42578125" customWidth="1"/>
    <col min="2824" max="2824" width="0.5703125" customWidth="1"/>
    <col min="2825" max="2825" width="11.5703125" hidden="1" customWidth="1"/>
    <col min="2826" max="2826" width="6.7109375" customWidth="1"/>
    <col min="2827" max="2827" width="8" customWidth="1"/>
    <col min="2828" max="2828" width="66.7109375" customWidth="1"/>
    <col min="2832" max="2832" width="13.28515625" customWidth="1"/>
    <col min="3074" max="3074" width="47.7109375" customWidth="1"/>
    <col min="3075" max="3075" width="8.7109375" customWidth="1"/>
    <col min="3076" max="3076" width="32.7109375" customWidth="1"/>
    <col min="3077" max="3077" width="6" customWidth="1"/>
    <col min="3078" max="3078" width="14.7109375" customWidth="1"/>
    <col min="3079" max="3079" width="23.42578125" customWidth="1"/>
    <col min="3080" max="3080" width="0.5703125" customWidth="1"/>
    <col min="3081" max="3081" width="11.5703125" hidden="1" customWidth="1"/>
    <col min="3082" max="3082" width="6.7109375" customWidth="1"/>
    <col min="3083" max="3083" width="8" customWidth="1"/>
    <col min="3084" max="3084" width="66.7109375" customWidth="1"/>
    <col min="3088" max="3088" width="13.28515625" customWidth="1"/>
    <col min="3330" max="3330" width="47.7109375" customWidth="1"/>
    <col min="3331" max="3331" width="8.7109375" customWidth="1"/>
    <col min="3332" max="3332" width="32.7109375" customWidth="1"/>
    <col min="3333" max="3333" width="6" customWidth="1"/>
    <col min="3334" max="3334" width="14.7109375" customWidth="1"/>
    <col min="3335" max="3335" width="23.42578125" customWidth="1"/>
    <col min="3336" max="3336" width="0.5703125" customWidth="1"/>
    <col min="3337" max="3337" width="11.5703125" hidden="1" customWidth="1"/>
    <col min="3338" max="3338" width="6.7109375" customWidth="1"/>
    <col min="3339" max="3339" width="8" customWidth="1"/>
    <col min="3340" max="3340" width="66.7109375" customWidth="1"/>
    <col min="3344" max="3344" width="13.28515625" customWidth="1"/>
    <col min="3586" max="3586" width="47.7109375" customWidth="1"/>
    <col min="3587" max="3587" width="8.7109375" customWidth="1"/>
    <col min="3588" max="3588" width="32.7109375" customWidth="1"/>
    <col min="3589" max="3589" width="6" customWidth="1"/>
    <col min="3590" max="3590" width="14.7109375" customWidth="1"/>
    <col min="3591" max="3591" width="23.42578125" customWidth="1"/>
    <col min="3592" max="3592" width="0.5703125" customWidth="1"/>
    <col min="3593" max="3593" width="11.5703125" hidden="1" customWidth="1"/>
    <col min="3594" max="3594" width="6.7109375" customWidth="1"/>
    <col min="3595" max="3595" width="8" customWidth="1"/>
    <col min="3596" max="3596" width="66.7109375" customWidth="1"/>
    <col min="3600" max="3600" width="13.28515625" customWidth="1"/>
    <col min="3842" max="3842" width="47.7109375" customWidth="1"/>
    <col min="3843" max="3843" width="8.7109375" customWidth="1"/>
    <col min="3844" max="3844" width="32.7109375" customWidth="1"/>
    <col min="3845" max="3845" width="6" customWidth="1"/>
    <col min="3846" max="3846" width="14.7109375" customWidth="1"/>
    <col min="3847" max="3847" width="23.42578125" customWidth="1"/>
    <col min="3848" max="3848" width="0.5703125" customWidth="1"/>
    <col min="3849" max="3849" width="11.5703125" hidden="1" customWidth="1"/>
    <col min="3850" max="3850" width="6.7109375" customWidth="1"/>
    <col min="3851" max="3851" width="8" customWidth="1"/>
    <col min="3852" max="3852" width="66.7109375" customWidth="1"/>
    <col min="3856" max="3856" width="13.28515625" customWidth="1"/>
    <col min="4098" max="4098" width="47.7109375" customWidth="1"/>
    <col min="4099" max="4099" width="8.7109375" customWidth="1"/>
    <col min="4100" max="4100" width="32.7109375" customWidth="1"/>
    <col min="4101" max="4101" width="6" customWidth="1"/>
    <col min="4102" max="4102" width="14.7109375" customWidth="1"/>
    <col min="4103" max="4103" width="23.42578125" customWidth="1"/>
    <col min="4104" max="4104" width="0.5703125" customWidth="1"/>
    <col min="4105" max="4105" width="11.5703125" hidden="1" customWidth="1"/>
    <col min="4106" max="4106" width="6.7109375" customWidth="1"/>
    <col min="4107" max="4107" width="8" customWidth="1"/>
    <col min="4108" max="4108" width="66.7109375" customWidth="1"/>
    <col min="4112" max="4112" width="13.28515625" customWidth="1"/>
    <col min="4354" max="4354" width="47.7109375" customWidth="1"/>
    <col min="4355" max="4355" width="8.7109375" customWidth="1"/>
    <col min="4356" max="4356" width="32.7109375" customWidth="1"/>
    <col min="4357" max="4357" width="6" customWidth="1"/>
    <col min="4358" max="4358" width="14.7109375" customWidth="1"/>
    <col min="4359" max="4359" width="23.42578125" customWidth="1"/>
    <col min="4360" max="4360" width="0.5703125" customWidth="1"/>
    <col min="4361" max="4361" width="11.5703125" hidden="1" customWidth="1"/>
    <col min="4362" max="4362" width="6.7109375" customWidth="1"/>
    <col min="4363" max="4363" width="8" customWidth="1"/>
    <col min="4364" max="4364" width="66.7109375" customWidth="1"/>
    <col min="4368" max="4368" width="13.28515625" customWidth="1"/>
    <col min="4610" max="4610" width="47.7109375" customWidth="1"/>
    <col min="4611" max="4611" width="8.7109375" customWidth="1"/>
    <col min="4612" max="4612" width="32.7109375" customWidth="1"/>
    <col min="4613" max="4613" width="6" customWidth="1"/>
    <col min="4614" max="4614" width="14.7109375" customWidth="1"/>
    <col min="4615" max="4615" width="23.42578125" customWidth="1"/>
    <col min="4616" max="4616" width="0.5703125" customWidth="1"/>
    <col min="4617" max="4617" width="11.5703125" hidden="1" customWidth="1"/>
    <col min="4618" max="4618" width="6.7109375" customWidth="1"/>
    <col min="4619" max="4619" width="8" customWidth="1"/>
    <col min="4620" max="4620" width="66.7109375" customWidth="1"/>
    <col min="4624" max="4624" width="13.28515625" customWidth="1"/>
    <col min="4866" max="4866" width="47.7109375" customWidth="1"/>
    <col min="4867" max="4867" width="8.7109375" customWidth="1"/>
    <col min="4868" max="4868" width="32.7109375" customWidth="1"/>
    <col min="4869" max="4869" width="6" customWidth="1"/>
    <col min="4870" max="4870" width="14.7109375" customWidth="1"/>
    <col min="4871" max="4871" width="23.42578125" customWidth="1"/>
    <col min="4872" max="4872" width="0.5703125" customWidth="1"/>
    <col min="4873" max="4873" width="11.5703125" hidden="1" customWidth="1"/>
    <col min="4874" max="4874" width="6.7109375" customWidth="1"/>
    <col min="4875" max="4875" width="8" customWidth="1"/>
    <col min="4876" max="4876" width="66.7109375" customWidth="1"/>
    <col min="4880" max="4880" width="13.28515625" customWidth="1"/>
    <col min="5122" max="5122" width="47.7109375" customWidth="1"/>
    <col min="5123" max="5123" width="8.7109375" customWidth="1"/>
    <col min="5124" max="5124" width="32.7109375" customWidth="1"/>
    <col min="5125" max="5125" width="6" customWidth="1"/>
    <col min="5126" max="5126" width="14.7109375" customWidth="1"/>
    <col min="5127" max="5127" width="23.42578125" customWidth="1"/>
    <col min="5128" max="5128" width="0.5703125" customWidth="1"/>
    <col min="5129" max="5129" width="11.5703125" hidden="1" customWidth="1"/>
    <col min="5130" max="5130" width="6.7109375" customWidth="1"/>
    <col min="5131" max="5131" width="8" customWidth="1"/>
    <col min="5132" max="5132" width="66.7109375" customWidth="1"/>
    <col min="5136" max="5136" width="13.28515625" customWidth="1"/>
    <col min="5378" max="5378" width="47.7109375" customWidth="1"/>
    <col min="5379" max="5379" width="8.7109375" customWidth="1"/>
    <col min="5380" max="5380" width="32.7109375" customWidth="1"/>
    <col min="5381" max="5381" width="6" customWidth="1"/>
    <col min="5382" max="5382" width="14.7109375" customWidth="1"/>
    <col min="5383" max="5383" width="23.42578125" customWidth="1"/>
    <col min="5384" max="5384" width="0.5703125" customWidth="1"/>
    <col min="5385" max="5385" width="11.5703125" hidden="1" customWidth="1"/>
    <col min="5386" max="5386" width="6.7109375" customWidth="1"/>
    <col min="5387" max="5387" width="8" customWidth="1"/>
    <col min="5388" max="5388" width="66.7109375" customWidth="1"/>
    <col min="5392" max="5392" width="13.28515625" customWidth="1"/>
    <col min="5634" max="5634" width="47.7109375" customWidth="1"/>
    <col min="5635" max="5635" width="8.7109375" customWidth="1"/>
    <col min="5636" max="5636" width="32.7109375" customWidth="1"/>
    <col min="5637" max="5637" width="6" customWidth="1"/>
    <col min="5638" max="5638" width="14.7109375" customWidth="1"/>
    <col min="5639" max="5639" width="23.42578125" customWidth="1"/>
    <col min="5640" max="5640" width="0.5703125" customWidth="1"/>
    <col min="5641" max="5641" width="11.5703125" hidden="1" customWidth="1"/>
    <col min="5642" max="5642" width="6.7109375" customWidth="1"/>
    <col min="5643" max="5643" width="8" customWidth="1"/>
    <col min="5644" max="5644" width="66.7109375" customWidth="1"/>
    <col min="5648" max="5648" width="13.28515625" customWidth="1"/>
    <col min="5890" max="5890" width="47.7109375" customWidth="1"/>
    <col min="5891" max="5891" width="8.7109375" customWidth="1"/>
    <col min="5892" max="5892" width="32.7109375" customWidth="1"/>
    <col min="5893" max="5893" width="6" customWidth="1"/>
    <col min="5894" max="5894" width="14.7109375" customWidth="1"/>
    <col min="5895" max="5895" width="23.42578125" customWidth="1"/>
    <col min="5896" max="5896" width="0.5703125" customWidth="1"/>
    <col min="5897" max="5897" width="11.5703125" hidden="1" customWidth="1"/>
    <col min="5898" max="5898" width="6.7109375" customWidth="1"/>
    <col min="5899" max="5899" width="8" customWidth="1"/>
    <col min="5900" max="5900" width="66.7109375" customWidth="1"/>
    <col min="5904" max="5904" width="13.28515625" customWidth="1"/>
    <col min="6146" max="6146" width="47.7109375" customWidth="1"/>
    <col min="6147" max="6147" width="8.7109375" customWidth="1"/>
    <col min="6148" max="6148" width="32.7109375" customWidth="1"/>
    <col min="6149" max="6149" width="6" customWidth="1"/>
    <col min="6150" max="6150" width="14.7109375" customWidth="1"/>
    <col min="6151" max="6151" width="23.42578125" customWidth="1"/>
    <col min="6152" max="6152" width="0.5703125" customWidth="1"/>
    <col min="6153" max="6153" width="11.5703125" hidden="1" customWidth="1"/>
    <col min="6154" max="6154" width="6.7109375" customWidth="1"/>
    <col min="6155" max="6155" width="8" customWidth="1"/>
    <col min="6156" max="6156" width="66.7109375" customWidth="1"/>
    <col min="6160" max="6160" width="13.28515625" customWidth="1"/>
    <col min="6402" max="6402" width="47.7109375" customWidth="1"/>
    <col min="6403" max="6403" width="8.7109375" customWidth="1"/>
    <col min="6404" max="6404" width="32.7109375" customWidth="1"/>
    <col min="6405" max="6405" width="6" customWidth="1"/>
    <col min="6406" max="6406" width="14.7109375" customWidth="1"/>
    <col min="6407" max="6407" width="23.42578125" customWidth="1"/>
    <col min="6408" max="6408" width="0.5703125" customWidth="1"/>
    <col min="6409" max="6409" width="11.5703125" hidden="1" customWidth="1"/>
    <col min="6410" max="6410" width="6.7109375" customWidth="1"/>
    <col min="6411" max="6411" width="8" customWidth="1"/>
    <col min="6412" max="6412" width="66.7109375" customWidth="1"/>
    <col min="6416" max="6416" width="13.28515625" customWidth="1"/>
    <col min="6658" max="6658" width="47.7109375" customWidth="1"/>
    <col min="6659" max="6659" width="8.7109375" customWidth="1"/>
    <col min="6660" max="6660" width="32.7109375" customWidth="1"/>
    <col min="6661" max="6661" width="6" customWidth="1"/>
    <col min="6662" max="6662" width="14.7109375" customWidth="1"/>
    <col min="6663" max="6663" width="23.42578125" customWidth="1"/>
    <col min="6664" max="6664" width="0.5703125" customWidth="1"/>
    <col min="6665" max="6665" width="11.5703125" hidden="1" customWidth="1"/>
    <col min="6666" max="6666" width="6.7109375" customWidth="1"/>
    <col min="6667" max="6667" width="8" customWidth="1"/>
    <col min="6668" max="6668" width="66.7109375" customWidth="1"/>
    <col min="6672" max="6672" width="13.28515625" customWidth="1"/>
    <col min="6914" max="6914" width="47.7109375" customWidth="1"/>
    <col min="6915" max="6915" width="8.7109375" customWidth="1"/>
    <col min="6916" max="6916" width="32.7109375" customWidth="1"/>
    <col min="6917" max="6917" width="6" customWidth="1"/>
    <col min="6918" max="6918" width="14.7109375" customWidth="1"/>
    <col min="6919" max="6919" width="23.42578125" customWidth="1"/>
    <col min="6920" max="6920" width="0.5703125" customWidth="1"/>
    <col min="6921" max="6921" width="11.5703125" hidden="1" customWidth="1"/>
    <col min="6922" max="6922" width="6.7109375" customWidth="1"/>
    <col min="6923" max="6923" width="8" customWidth="1"/>
    <col min="6924" max="6924" width="66.7109375" customWidth="1"/>
    <col min="6928" max="6928" width="13.28515625" customWidth="1"/>
    <col min="7170" max="7170" width="47.7109375" customWidth="1"/>
    <col min="7171" max="7171" width="8.7109375" customWidth="1"/>
    <col min="7172" max="7172" width="32.7109375" customWidth="1"/>
    <col min="7173" max="7173" width="6" customWidth="1"/>
    <col min="7174" max="7174" width="14.7109375" customWidth="1"/>
    <col min="7175" max="7175" width="23.42578125" customWidth="1"/>
    <col min="7176" max="7176" width="0.5703125" customWidth="1"/>
    <col min="7177" max="7177" width="11.5703125" hidden="1" customWidth="1"/>
    <col min="7178" max="7178" width="6.7109375" customWidth="1"/>
    <col min="7179" max="7179" width="8" customWidth="1"/>
    <col min="7180" max="7180" width="66.7109375" customWidth="1"/>
    <col min="7184" max="7184" width="13.28515625" customWidth="1"/>
    <col min="7426" max="7426" width="47.7109375" customWidth="1"/>
    <col min="7427" max="7427" width="8.7109375" customWidth="1"/>
    <col min="7428" max="7428" width="32.7109375" customWidth="1"/>
    <col min="7429" max="7429" width="6" customWidth="1"/>
    <col min="7430" max="7430" width="14.7109375" customWidth="1"/>
    <col min="7431" max="7431" width="23.42578125" customWidth="1"/>
    <col min="7432" max="7432" width="0.5703125" customWidth="1"/>
    <col min="7433" max="7433" width="11.5703125" hidden="1" customWidth="1"/>
    <col min="7434" max="7434" width="6.7109375" customWidth="1"/>
    <col min="7435" max="7435" width="8" customWidth="1"/>
    <col min="7436" max="7436" width="66.7109375" customWidth="1"/>
    <col min="7440" max="7440" width="13.28515625" customWidth="1"/>
    <col min="7682" max="7682" width="47.7109375" customWidth="1"/>
    <col min="7683" max="7683" width="8.7109375" customWidth="1"/>
    <col min="7684" max="7684" width="32.7109375" customWidth="1"/>
    <col min="7685" max="7685" width="6" customWidth="1"/>
    <col min="7686" max="7686" width="14.7109375" customWidth="1"/>
    <col min="7687" max="7687" width="23.42578125" customWidth="1"/>
    <col min="7688" max="7688" width="0.5703125" customWidth="1"/>
    <col min="7689" max="7689" width="11.5703125" hidden="1" customWidth="1"/>
    <col min="7690" max="7690" width="6.7109375" customWidth="1"/>
    <col min="7691" max="7691" width="8" customWidth="1"/>
    <col min="7692" max="7692" width="66.7109375" customWidth="1"/>
    <col min="7696" max="7696" width="13.28515625" customWidth="1"/>
    <col min="7938" max="7938" width="47.7109375" customWidth="1"/>
    <col min="7939" max="7939" width="8.7109375" customWidth="1"/>
    <col min="7940" max="7940" width="32.7109375" customWidth="1"/>
    <col min="7941" max="7941" width="6" customWidth="1"/>
    <col min="7942" max="7942" width="14.7109375" customWidth="1"/>
    <col min="7943" max="7943" width="23.42578125" customWidth="1"/>
    <col min="7944" max="7944" width="0.5703125" customWidth="1"/>
    <col min="7945" max="7945" width="11.5703125" hidden="1" customWidth="1"/>
    <col min="7946" max="7946" width="6.7109375" customWidth="1"/>
    <col min="7947" max="7947" width="8" customWidth="1"/>
    <col min="7948" max="7948" width="66.7109375" customWidth="1"/>
    <col min="7952" max="7952" width="13.28515625" customWidth="1"/>
    <col min="8194" max="8194" width="47.7109375" customWidth="1"/>
    <col min="8195" max="8195" width="8.7109375" customWidth="1"/>
    <col min="8196" max="8196" width="32.7109375" customWidth="1"/>
    <col min="8197" max="8197" width="6" customWidth="1"/>
    <col min="8198" max="8198" width="14.7109375" customWidth="1"/>
    <col min="8199" max="8199" width="23.42578125" customWidth="1"/>
    <col min="8200" max="8200" width="0.5703125" customWidth="1"/>
    <col min="8201" max="8201" width="11.5703125" hidden="1" customWidth="1"/>
    <col min="8202" max="8202" width="6.7109375" customWidth="1"/>
    <col min="8203" max="8203" width="8" customWidth="1"/>
    <col min="8204" max="8204" width="66.7109375" customWidth="1"/>
    <col min="8208" max="8208" width="13.28515625" customWidth="1"/>
    <col min="8450" max="8450" width="47.7109375" customWidth="1"/>
    <col min="8451" max="8451" width="8.7109375" customWidth="1"/>
    <col min="8452" max="8452" width="32.7109375" customWidth="1"/>
    <col min="8453" max="8453" width="6" customWidth="1"/>
    <col min="8454" max="8454" width="14.7109375" customWidth="1"/>
    <col min="8455" max="8455" width="23.42578125" customWidth="1"/>
    <col min="8456" max="8456" width="0.5703125" customWidth="1"/>
    <col min="8457" max="8457" width="11.5703125" hidden="1" customWidth="1"/>
    <col min="8458" max="8458" width="6.7109375" customWidth="1"/>
    <col min="8459" max="8459" width="8" customWidth="1"/>
    <col min="8460" max="8460" width="66.7109375" customWidth="1"/>
    <col min="8464" max="8464" width="13.28515625" customWidth="1"/>
    <col min="8706" max="8706" width="47.7109375" customWidth="1"/>
    <col min="8707" max="8707" width="8.7109375" customWidth="1"/>
    <col min="8708" max="8708" width="32.7109375" customWidth="1"/>
    <col min="8709" max="8709" width="6" customWidth="1"/>
    <col min="8710" max="8710" width="14.7109375" customWidth="1"/>
    <col min="8711" max="8711" width="23.42578125" customWidth="1"/>
    <col min="8712" max="8712" width="0.5703125" customWidth="1"/>
    <col min="8713" max="8713" width="11.5703125" hidden="1" customWidth="1"/>
    <col min="8714" max="8714" width="6.7109375" customWidth="1"/>
    <col min="8715" max="8715" width="8" customWidth="1"/>
    <col min="8716" max="8716" width="66.7109375" customWidth="1"/>
    <col min="8720" max="8720" width="13.28515625" customWidth="1"/>
    <col min="8962" max="8962" width="47.7109375" customWidth="1"/>
    <col min="8963" max="8963" width="8.7109375" customWidth="1"/>
    <col min="8964" max="8964" width="32.7109375" customWidth="1"/>
    <col min="8965" max="8965" width="6" customWidth="1"/>
    <col min="8966" max="8966" width="14.7109375" customWidth="1"/>
    <col min="8967" max="8967" width="23.42578125" customWidth="1"/>
    <col min="8968" max="8968" width="0.5703125" customWidth="1"/>
    <col min="8969" max="8969" width="11.5703125" hidden="1" customWidth="1"/>
    <col min="8970" max="8970" width="6.7109375" customWidth="1"/>
    <col min="8971" max="8971" width="8" customWidth="1"/>
    <col min="8972" max="8972" width="66.7109375" customWidth="1"/>
    <col min="8976" max="8976" width="13.28515625" customWidth="1"/>
    <col min="9218" max="9218" width="47.7109375" customWidth="1"/>
    <col min="9219" max="9219" width="8.7109375" customWidth="1"/>
    <col min="9220" max="9220" width="32.7109375" customWidth="1"/>
    <col min="9221" max="9221" width="6" customWidth="1"/>
    <col min="9222" max="9222" width="14.7109375" customWidth="1"/>
    <col min="9223" max="9223" width="23.42578125" customWidth="1"/>
    <col min="9224" max="9224" width="0.5703125" customWidth="1"/>
    <col min="9225" max="9225" width="11.5703125" hidden="1" customWidth="1"/>
    <col min="9226" max="9226" width="6.7109375" customWidth="1"/>
    <col min="9227" max="9227" width="8" customWidth="1"/>
    <col min="9228" max="9228" width="66.7109375" customWidth="1"/>
    <col min="9232" max="9232" width="13.28515625" customWidth="1"/>
    <col min="9474" max="9474" width="47.7109375" customWidth="1"/>
    <col min="9475" max="9475" width="8.7109375" customWidth="1"/>
    <col min="9476" max="9476" width="32.7109375" customWidth="1"/>
    <col min="9477" max="9477" width="6" customWidth="1"/>
    <col min="9478" max="9478" width="14.7109375" customWidth="1"/>
    <col min="9479" max="9479" width="23.42578125" customWidth="1"/>
    <col min="9480" max="9480" width="0.5703125" customWidth="1"/>
    <col min="9481" max="9481" width="11.5703125" hidden="1" customWidth="1"/>
    <col min="9482" max="9482" width="6.7109375" customWidth="1"/>
    <col min="9483" max="9483" width="8" customWidth="1"/>
    <col min="9484" max="9484" width="66.7109375" customWidth="1"/>
    <col min="9488" max="9488" width="13.28515625" customWidth="1"/>
    <col min="9730" max="9730" width="47.7109375" customWidth="1"/>
    <col min="9731" max="9731" width="8.7109375" customWidth="1"/>
    <col min="9732" max="9732" width="32.7109375" customWidth="1"/>
    <col min="9733" max="9733" width="6" customWidth="1"/>
    <col min="9734" max="9734" width="14.7109375" customWidth="1"/>
    <col min="9735" max="9735" width="23.42578125" customWidth="1"/>
    <col min="9736" max="9736" width="0.5703125" customWidth="1"/>
    <col min="9737" max="9737" width="11.5703125" hidden="1" customWidth="1"/>
    <col min="9738" max="9738" width="6.7109375" customWidth="1"/>
    <col min="9739" max="9739" width="8" customWidth="1"/>
    <col min="9740" max="9740" width="66.7109375" customWidth="1"/>
    <col min="9744" max="9744" width="13.28515625" customWidth="1"/>
    <col min="9986" max="9986" width="47.7109375" customWidth="1"/>
    <col min="9987" max="9987" width="8.7109375" customWidth="1"/>
    <col min="9988" max="9988" width="32.7109375" customWidth="1"/>
    <col min="9989" max="9989" width="6" customWidth="1"/>
    <col min="9990" max="9990" width="14.7109375" customWidth="1"/>
    <col min="9991" max="9991" width="23.42578125" customWidth="1"/>
    <col min="9992" max="9992" width="0.5703125" customWidth="1"/>
    <col min="9993" max="9993" width="11.5703125" hidden="1" customWidth="1"/>
    <col min="9994" max="9994" width="6.7109375" customWidth="1"/>
    <col min="9995" max="9995" width="8" customWidth="1"/>
    <col min="9996" max="9996" width="66.7109375" customWidth="1"/>
    <col min="10000" max="10000" width="13.28515625" customWidth="1"/>
    <col min="10242" max="10242" width="47.7109375" customWidth="1"/>
    <col min="10243" max="10243" width="8.7109375" customWidth="1"/>
    <col min="10244" max="10244" width="32.7109375" customWidth="1"/>
    <col min="10245" max="10245" width="6" customWidth="1"/>
    <col min="10246" max="10246" width="14.7109375" customWidth="1"/>
    <col min="10247" max="10247" width="23.42578125" customWidth="1"/>
    <col min="10248" max="10248" width="0.5703125" customWidth="1"/>
    <col min="10249" max="10249" width="11.5703125" hidden="1" customWidth="1"/>
    <col min="10250" max="10250" width="6.7109375" customWidth="1"/>
    <col min="10251" max="10251" width="8" customWidth="1"/>
    <col min="10252" max="10252" width="66.7109375" customWidth="1"/>
    <col min="10256" max="10256" width="13.28515625" customWidth="1"/>
    <col min="10498" max="10498" width="47.7109375" customWidth="1"/>
    <col min="10499" max="10499" width="8.7109375" customWidth="1"/>
    <col min="10500" max="10500" width="32.7109375" customWidth="1"/>
    <col min="10501" max="10501" width="6" customWidth="1"/>
    <col min="10502" max="10502" width="14.7109375" customWidth="1"/>
    <col min="10503" max="10503" width="23.42578125" customWidth="1"/>
    <col min="10504" max="10504" width="0.5703125" customWidth="1"/>
    <col min="10505" max="10505" width="11.5703125" hidden="1" customWidth="1"/>
    <col min="10506" max="10506" width="6.7109375" customWidth="1"/>
    <col min="10507" max="10507" width="8" customWidth="1"/>
    <col min="10508" max="10508" width="66.7109375" customWidth="1"/>
    <col min="10512" max="10512" width="13.28515625" customWidth="1"/>
    <col min="10754" max="10754" width="47.7109375" customWidth="1"/>
    <col min="10755" max="10755" width="8.7109375" customWidth="1"/>
    <col min="10756" max="10756" width="32.7109375" customWidth="1"/>
    <col min="10757" max="10757" width="6" customWidth="1"/>
    <col min="10758" max="10758" width="14.7109375" customWidth="1"/>
    <col min="10759" max="10759" width="23.42578125" customWidth="1"/>
    <col min="10760" max="10760" width="0.5703125" customWidth="1"/>
    <col min="10761" max="10761" width="11.5703125" hidden="1" customWidth="1"/>
    <col min="10762" max="10762" width="6.7109375" customWidth="1"/>
    <col min="10763" max="10763" width="8" customWidth="1"/>
    <col min="10764" max="10764" width="66.7109375" customWidth="1"/>
    <col min="10768" max="10768" width="13.28515625" customWidth="1"/>
    <col min="11010" max="11010" width="47.7109375" customWidth="1"/>
    <col min="11011" max="11011" width="8.7109375" customWidth="1"/>
    <col min="11012" max="11012" width="32.7109375" customWidth="1"/>
    <col min="11013" max="11013" width="6" customWidth="1"/>
    <col min="11014" max="11014" width="14.7109375" customWidth="1"/>
    <col min="11015" max="11015" width="23.42578125" customWidth="1"/>
    <col min="11016" max="11016" width="0.5703125" customWidth="1"/>
    <col min="11017" max="11017" width="11.5703125" hidden="1" customWidth="1"/>
    <col min="11018" max="11018" width="6.7109375" customWidth="1"/>
    <col min="11019" max="11019" width="8" customWidth="1"/>
    <col min="11020" max="11020" width="66.7109375" customWidth="1"/>
    <col min="11024" max="11024" width="13.28515625" customWidth="1"/>
    <col min="11266" max="11266" width="47.7109375" customWidth="1"/>
    <col min="11267" max="11267" width="8.7109375" customWidth="1"/>
    <col min="11268" max="11268" width="32.7109375" customWidth="1"/>
    <col min="11269" max="11269" width="6" customWidth="1"/>
    <col min="11270" max="11270" width="14.7109375" customWidth="1"/>
    <col min="11271" max="11271" width="23.42578125" customWidth="1"/>
    <col min="11272" max="11272" width="0.5703125" customWidth="1"/>
    <col min="11273" max="11273" width="11.5703125" hidden="1" customWidth="1"/>
    <col min="11274" max="11274" width="6.7109375" customWidth="1"/>
    <col min="11275" max="11275" width="8" customWidth="1"/>
    <col min="11276" max="11276" width="66.7109375" customWidth="1"/>
    <col min="11280" max="11280" width="13.28515625" customWidth="1"/>
    <col min="11522" max="11522" width="47.7109375" customWidth="1"/>
    <col min="11523" max="11523" width="8.7109375" customWidth="1"/>
    <col min="11524" max="11524" width="32.7109375" customWidth="1"/>
    <col min="11525" max="11525" width="6" customWidth="1"/>
    <col min="11526" max="11526" width="14.7109375" customWidth="1"/>
    <col min="11527" max="11527" width="23.42578125" customWidth="1"/>
    <col min="11528" max="11528" width="0.5703125" customWidth="1"/>
    <col min="11529" max="11529" width="11.5703125" hidden="1" customWidth="1"/>
    <col min="11530" max="11530" width="6.7109375" customWidth="1"/>
    <col min="11531" max="11531" width="8" customWidth="1"/>
    <col min="11532" max="11532" width="66.7109375" customWidth="1"/>
    <col min="11536" max="11536" width="13.28515625" customWidth="1"/>
    <col min="11778" max="11778" width="47.7109375" customWidth="1"/>
    <col min="11779" max="11779" width="8.7109375" customWidth="1"/>
    <col min="11780" max="11780" width="32.7109375" customWidth="1"/>
    <col min="11781" max="11781" width="6" customWidth="1"/>
    <col min="11782" max="11782" width="14.7109375" customWidth="1"/>
    <col min="11783" max="11783" width="23.42578125" customWidth="1"/>
    <col min="11784" max="11784" width="0.5703125" customWidth="1"/>
    <col min="11785" max="11785" width="11.5703125" hidden="1" customWidth="1"/>
    <col min="11786" max="11786" width="6.7109375" customWidth="1"/>
    <col min="11787" max="11787" width="8" customWidth="1"/>
    <col min="11788" max="11788" width="66.7109375" customWidth="1"/>
    <col min="11792" max="11792" width="13.28515625" customWidth="1"/>
    <col min="12034" max="12034" width="47.7109375" customWidth="1"/>
    <col min="12035" max="12035" width="8.7109375" customWidth="1"/>
    <col min="12036" max="12036" width="32.7109375" customWidth="1"/>
    <col min="12037" max="12037" width="6" customWidth="1"/>
    <col min="12038" max="12038" width="14.7109375" customWidth="1"/>
    <col min="12039" max="12039" width="23.42578125" customWidth="1"/>
    <col min="12040" max="12040" width="0.5703125" customWidth="1"/>
    <col min="12041" max="12041" width="11.5703125" hidden="1" customWidth="1"/>
    <col min="12042" max="12042" width="6.7109375" customWidth="1"/>
    <col min="12043" max="12043" width="8" customWidth="1"/>
    <col min="12044" max="12044" width="66.7109375" customWidth="1"/>
    <col min="12048" max="12048" width="13.28515625" customWidth="1"/>
    <col min="12290" max="12290" width="47.7109375" customWidth="1"/>
    <col min="12291" max="12291" width="8.7109375" customWidth="1"/>
    <col min="12292" max="12292" width="32.7109375" customWidth="1"/>
    <col min="12293" max="12293" width="6" customWidth="1"/>
    <col min="12294" max="12294" width="14.7109375" customWidth="1"/>
    <col min="12295" max="12295" width="23.42578125" customWidth="1"/>
    <col min="12296" max="12296" width="0.5703125" customWidth="1"/>
    <col min="12297" max="12297" width="11.5703125" hidden="1" customWidth="1"/>
    <col min="12298" max="12298" width="6.7109375" customWidth="1"/>
    <col min="12299" max="12299" width="8" customWidth="1"/>
    <col min="12300" max="12300" width="66.7109375" customWidth="1"/>
    <col min="12304" max="12304" width="13.28515625" customWidth="1"/>
    <col min="12546" max="12546" width="47.7109375" customWidth="1"/>
    <col min="12547" max="12547" width="8.7109375" customWidth="1"/>
    <col min="12548" max="12548" width="32.7109375" customWidth="1"/>
    <col min="12549" max="12549" width="6" customWidth="1"/>
    <col min="12550" max="12550" width="14.7109375" customWidth="1"/>
    <col min="12551" max="12551" width="23.42578125" customWidth="1"/>
    <col min="12552" max="12552" width="0.5703125" customWidth="1"/>
    <col min="12553" max="12553" width="11.5703125" hidden="1" customWidth="1"/>
    <col min="12554" max="12554" width="6.7109375" customWidth="1"/>
    <col min="12555" max="12555" width="8" customWidth="1"/>
    <col min="12556" max="12556" width="66.7109375" customWidth="1"/>
    <col min="12560" max="12560" width="13.28515625" customWidth="1"/>
    <col min="12802" max="12802" width="47.7109375" customWidth="1"/>
    <col min="12803" max="12803" width="8.7109375" customWidth="1"/>
    <col min="12804" max="12804" width="32.7109375" customWidth="1"/>
    <col min="12805" max="12805" width="6" customWidth="1"/>
    <col min="12806" max="12806" width="14.7109375" customWidth="1"/>
    <col min="12807" max="12807" width="23.42578125" customWidth="1"/>
    <col min="12808" max="12808" width="0.5703125" customWidth="1"/>
    <col min="12809" max="12809" width="11.5703125" hidden="1" customWidth="1"/>
    <col min="12810" max="12810" width="6.7109375" customWidth="1"/>
    <col min="12811" max="12811" width="8" customWidth="1"/>
    <col min="12812" max="12812" width="66.7109375" customWidth="1"/>
    <col min="12816" max="12816" width="13.28515625" customWidth="1"/>
    <col min="13058" max="13058" width="47.7109375" customWidth="1"/>
    <col min="13059" max="13059" width="8.7109375" customWidth="1"/>
    <col min="13060" max="13060" width="32.7109375" customWidth="1"/>
    <col min="13061" max="13061" width="6" customWidth="1"/>
    <col min="13062" max="13062" width="14.7109375" customWidth="1"/>
    <col min="13063" max="13063" width="23.42578125" customWidth="1"/>
    <col min="13064" max="13064" width="0.5703125" customWidth="1"/>
    <col min="13065" max="13065" width="11.5703125" hidden="1" customWidth="1"/>
    <col min="13066" max="13066" width="6.7109375" customWidth="1"/>
    <col min="13067" max="13067" width="8" customWidth="1"/>
    <col min="13068" max="13068" width="66.7109375" customWidth="1"/>
    <col min="13072" max="13072" width="13.28515625" customWidth="1"/>
    <col min="13314" max="13314" width="47.7109375" customWidth="1"/>
    <col min="13315" max="13315" width="8.7109375" customWidth="1"/>
    <col min="13316" max="13316" width="32.7109375" customWidth="1"/>
    <col min="13317" max="13317" width="6" customWidth="1"/>
    <col min="13318" max="13318" width="14.7109375" customWidth="1"/>
    <col min="13319" max="13319" width="23.42578125" customWidth="1"/>
    <col min="13320" max="13320" width="0.5703125" customWidth="1"/>
    <col min="13321" max="13321" width="11.5703125" hidden="1" customWidth="1"/>
    <col min="13322" max="13322" width="6.7109375" customWidth="1"/>
    <col min="13323" max="13323" width="8" customWidth="1"/>
    <col min="13324" max="13324" width="66.7109375" customWidth="1"/>
    <col min="13328" max="13328" width="13.28515625" customWidth="1"/>
    <col min="13570" max="13570" width="47.7109375" customWidth="1"/>
    <col min="13571" max="13571" width="8.7109375" customWidth="1"/>
    <col min="13572" max="13572" width="32.7109375" customWidth="1"/>
    <col min="13573" max="13573" width="6" customWidth="1"/>
    <col min="13574" max="13574" width="14.7109375" customWidth="1"/>
    <col min="13575" max="13575" width="23.42578125" customWidth="1"/>
    <col min="13576" max="13576" width="0.5703125" customWidth="1"/>
    <col min="13577" max="13577" width="11.5703125" hidden="1" customWidth="1"/>
    <col min="13578" max="13578" width="6.7109375" customWidth="1"/>
    <col min="13579" max="13579" width="8" customWidth="1"/>
    <col min="13580" max="13580" width="66.7109375" customWidth="1"/>
    <col min="13584" max="13584" width="13.28515625" customWidth="1"/>
    <col min="13826" max="13826" width="47.7109375" customWidth="1"/>
    <col min="13827" max="13827" width="8.7109375" customWidth="1"/>
    <col min="13828" max="13828" width="32.7109375" customWidth="1"/>
    <col min="13829" max="13829" width="6" customWidth="1"/>
    <col min="13830" max="13830" width="14.7109375" customWidth="1"/>
    <col min="13831" max="13831" width="23.42578125" customWidth="1"/>
    <col min="13832" max="13832" width="0.5703125" customWidth="1"/>
    <col min="13833" max="13833" width="11.5703125" hidden="1" customWidth="1"/>
    <col min="13834" max="13834" width="6.7109375" customWidth="1"/>
    <col min="13835" max="13835" width="8" customWidth="1"/>
    <col min="13836" max="13836" width="66.7109375" customWidth="1"/>
    <col min="13840" max="13840" width="13.28515625" customWidth="1"/>
    <col min="14082" max="14082" width="47.7109375" customWidth="1"/>
    <col min="14083" max="14083" width="8.7109375" customWidth="1"/>
    <col min="14084" max="14084" width="32.7109375" customWidth="1"/>
    <col min="14085" max="14085" width="6" customWidth="1"/>
    <col min="14086" max="14086" width="14.7109375" customWidth="1"/>
    <col min="14087" max="14087" width="23.42578125" customWidth="1"/>
    <col min="14088" max="14088" width="0.5703125" customWidth="1"/>
    <col min="14089" max="14089" width="11.5703125" hidden="1" customWidth="1"/>
    <col min="14090" max="14090" width="6.7109375" customWidth="1"/>
    <col min="14091" max="14091" width="8" customWidth="1"/>
    <col min="14092" max="14092" width="66.7109375" customWidth="1"/>
    <col min="14096" max="14096" width="13.28515625" customWidth="1"/>
    <col min="14338" max="14338" width="47.7109375" customWidth="1"/>
    <col min="14339" max="14339" width="8.7109375" customWidth="1"/>
    <col min="14340" max="14340" width="32.7109375" customWidth="1"/>
    <col min="14341" max="14341" width="6" customWidth="1"/>
    <col min="14342" max="14342" width="14.7109375" customWidth="1"/>
    <col min="14343" max="14343" width="23.42578125" customWidth="1"/>
    <col min="14344" max="14344" width="0.5703125" customWidth="1"/>
    <col min="14345" max="14345" width="11.5703125" hidden="1" customWidth="1"/>
    <col min="14346" max="14346" width="6.7109375" customWidth="1"/>
    <col min="14347" max="14347" width="8" customWidth="1"/>
    <col min="14348" max="14348" width="66.7109375" customWidth="1"/>
    <col min="14352" max="14352" width="13.28515625" customWidth="1"/>
    <col min="14594" max="14594" width="47.7109375" customWidth="1"/>
    <col min="14595" max="14595" width="8.7109375" customWidth="1"/>
    <col min="14596" max="14596" width="32.7109375" customWidth="1"/>
    <col min="14597" max="14597" width="6" customWidth="1"/>
    <col min="14598" max="14598" width="14.7109375" customWidth="1"/>
    <col min="14599" max="14599" width="23.42578125" customWidth="1"/>
    <col min="14600" max="14600" width="0.5703125" customWidth="1"/>
    <col min="14601" max="14601" width="11.5703125" hidden="1" customWidth="1"/>
    <col min="14602" max="14602" width="6.7109375" customWidth="1"/>
    <col min="14603" max="14603" width="8" customWidth="1"/>
    <col min="14604" max="14604" width="66.7109375" customWidth="1"/>
    <col min="14608" max="14608" width="13.28515625" customWidth="1"/>
    <col min="14850" max="14850" width="47.7109375" customWidth="1"/>
    <col min="14851" max="14851" width="8.7109375" customWidth="1"/>
    <col min="14852" max="14852" width="32.7109375" customWidth="1"/>
    <col min="14853" max="14853" width="6" customWidth="1"/>
    <col min="14854" max="14854" width="14.7109375" customWidth="1"/>
    <col min="14855" max="14855" width="23.42578125" customWidth="1"/>
    <col min="14856" max="14856" width="0.5703125" customWidth="1"/>
    <col min="14857" max="14857" width="11.5703125" hidden="1" customWidth="1"/>
    <col min="14858" max="14858" width="6.7109375" customWidth="1"/>
    <col min="14859" max="14859" width="8" customWidth="1"/>
    <col min="14860" max="14860" width="66.7109375" customWidth="1"/>
    <col min="14864" max="14864" width="13.28515625" customWidth="1"/>
    <col min="15106" max="15106" width="47.7109375" customWidth="1"/>
    <col min="15107" max="15107" width="8.7109375" customWidth="1"/>
    <col min="15108" max="15108" width="32.7109375" customWidth="1"/>
    <col min="15109" max="15109" width="6" customWidth="1"/>
    <col min="15110" max="15110" width="14.7109375" customWidth="1"/>
    <col min="15111" max="15111" width="23.42578125" customWidth="1"/>
    <col min="15112" max="15112" width="0.5703125" customWidth="1"/>
    <col min="15113" max="15113" width="11.5703125" hidden="1" customWidth="1"/>
    <col min="15114" max="15114" width="6.7109375" customWidth="1"/>
    <col min="15115" max="15115" width="8" customWidth="1"/>
    <col min="15116" max="15116" width="66.7109375" customWidth="1"/>
    <col min="15120" max="15120" width="13.28515625" customWidth="1"/>
    <col min="15362" max="15362" width="47.7109375" customWidth="1"/>
    <col min="15363" max="15363" width="8.7109375" customWidth="1"/>
    <col min="15364" max="15364" width="32.7109375" customWidth="1"/>
    <col min="15365" max="15365" width="6" customWidth="1"/>
    <col min="15366" max="15366" width="14.7109375" customWidth="1"/>
    <col min="15367" max="15367" width="23.42578125" customWidth="1"/>
    <col min="15368" max="15368" width="0.5703125" customWidth="1"/>
    <col min="15369" max="15369" width="11.5703125" hidden="1" customWidth="1"/>
    <col min="15370" max="15370" width="6.7109375" customWidth="1"/>
    <col min="15371" max="15371" width="8" customWidth="1"/>
    <col min="15372" max="15372" width="66.7109375" customWidth="1"/>
    <col min="15376" max="15376" width="13.28515625" customWidth="1"/>
    <col min="15618" max="15618" width="47.7109375" customWidth="1"/>
    <col min="15619" max="15619" width="8.7109375" customWidth="1"/>
    <col min="15620" max="15620" width="32.7109375" customWidth="1"/>
    <col min="15621" max="15621" width="6" customWidth="1"/>
    <col min="15622" max="15622" width="14.7109375" customWidth="1"/>
    <col min="15623" max="15623" width="23.42578125" customWidth="1"/>
    <col min="15624" max="15624" width="0.5703125" customWidth="1"/>
    <col min="15625" max="15625" width="11.5703125" hidden="1" customWidth="1"/>
    <col min="15626" max="15626" width="6.7109375" customWidth="1"/>
    <col min="15627" max="15627" width="8" customWidth="1"/>
    <col min="15628" max="15628" width="66.7109375" customWidth="1"/>
    <col min="15632" max="15632" width="13.28515625" customWidth="1"/>
    <col min="15874" max="15874" width="47.7109375" customWidth="1"/>
    <col min="15875" max="15875" width="8.7109375" customWidth="1"/>
    <col min="15876" max="15876" width="32.7109375" customWidth="1"/>
    <col min="15877" max="15877" width="6" customWidth="1"/>
    <col min="15878" max="15878" width="14.7109375" customWidth="1"/>
    <col min="15879" max="15879" width="23.42578125" customWidth="1"/>
    <col min="15880" max="15880" width="0.5703125" customWidth="1"/>
    <col min="15881" max="15881" width="11.5703125" hidden="1" customWidth="1"/>
    <col min="15882" max="15882" width="6.7109375" customWidth="1"/>
    <col min="15883" max="15883" width="8" customWidth="1"/>
    <col min="15884" max="15884" width="66.7109375" customWidth="1"/>
    <col min="15888" max="15888" width="13.28515625" customWidth="1"/>
    <col min="16130" max="16130" width="47.7109375" customWidth="1"/>
    <col min="16131" max="16131" width="8.7109375" customWidth="1"/>
    <col min="16132" max="16132" width="32.7109375" customWidth="1"/>
    <col min="16133" max="16133" width="6" customWidth="1"/>
    <col min="16134" max="16134" width="14.7109375" customWidth="1"/>
    <col min="16135" max="16135" width="23.42578125" customWidth="1"/>
    <col min="16136" max="16136" width="0.5703125" customWidth="1"/>
    <col min="16137" max="16137" width="11.5703125" hidden="1" customWidth="1"/>
    <col min="16138" max="16138" width="6.7109375" customWidth="1"/>
    <col min="16139" max="16139" width="8" customWidth="1"/>
    <col min="16140" max="16140" width="66.7109375" customWidth="1"/>
    <col min="16144" max="16144" width="13.28515625" customWidth="1"/>
  </cols>
  <sheetData>
    <row r="1" spans="2:16" ht="28.5" x14ac:dyDescent="0.45">
      <c r="B1" s="2"/>
      <c r="C1" s="3"/>
      <c r="D1" s="4"/>
      <c r="E1" s="5"/>
      <c r="F1" s="5"/>
      <c r="G1" s="5"/>
      <c r="H1" s="5"/>
      <c r="I1" s="5"/>
      <c r="J1" s="5"/>
      <c r="K1" s="5"/>
    </row>
    <row r="2" spans="2:16" ht="76.5" customHeight="1" x14ac:dyDescent="0.45">
      <c r="B2" s="6"/>
      <c r="C2" s="3"/>
      <c r="D2" s="4"/>
      <c r="E2" s="5"/>
      <c r="F2" s="5"/>
      <c r="G2" s="5"/>
      <c r="H2" s="5"/>
      <c r="I2" s="5"/>
      <c r="J2" s="5"/>
      <c r="K2" s="5"/>
    </row>
    <row r="3" spans="2:16" ht="35.25" customHeight="1" x14ac:dyDescent="0.25">
      <c r="B3" s="91" t="s">
        <v>0</v>
      </c>
      <c r="C3" s="91"/>
      <c r="D3" s="91"/>
      <c r="E3" s="91"/>
      <c r="F3" s="91"/>
      <c r="G3" s="91"/>
      <c r="H3" s="91"/>
      <c r="I3" s="91"/>
      <c r="J3" s="91"/>
      <c r="K3" s="91"/>
      <c r="L3" s="91"/>
      <c r="N3" s="7"/>
    </row>
    <row r="4" spans="2:16" ht="30.75" customHeight="1" x14ac:dyDescent="0.25">
      <c r="B4" s="92" t="s">
        <v>1</v>
      </c>
      <c r="C4" s="92"/>
      <c r="D4" s="92"/>
      <c r="E4" s="92"/>
      <c r="F4" s="92"/>
      <c r="G4" s="92"/>
      <c r="H4" s="92"/>
      <c r="I4" s="92"/>
      <c r="J4" s="93">
        <f ca="1">TODAY()</f>
        <v>46267</v>
      </c>
      <c r="K4" s="93"/>
      <c r="L4" s="93"/>
      <c r="N4" s="7"/>
    </row>
    <row r="5" spans="2:16" ht="23.25" customHeight="1" x14ac:dyDescent="0.25">
      <c r="B5" s="94"/>
      <c r="C5" s="94"/>
      <c r="D5" s="94"/>
      <c r="E5" s="94"/>
      <c r="F5" s="94"/>
      <c r="G5" s="94"/>
      <c r="H5" s="94"/>
      <c r="I5" s="94"/>
      <c r="J5" s="94"/>
      <c r="K5" s="94"/>
      <c r="L5" s="8"/>
    </row>
    <row r="6" spans="2:16" ht="32.25" customHeight="1" x14ac:dyDescent="0.25">
      <c r="B6" s="95" t="s">
        <v>2</v>
      </c>
      <c r="C6" s="95"/>
      <c r="D6" s="95"/>
      <c r="E6" s="95"/>
      <c r="F6" s="95"/>
      <c r="G6" s="66" t="s">
        <v>3</v>
      </c>
      <c r="H6" s="66"/>
      <c r="I6" s="66"/>
      <c r="J6" s="66"/>
      <c r="K6" s="66"/>
      <c r="L6" s="66"/>
    </row>
    <row r="7" spans="2:16" ht="39.75" customHeight="1" x14ac:dyDescent="0.25">
      <c r="B7" s="88" t="s">
        <v>4</v>
      </c>
      <c r="C7" s="88"/>
      <c r="D7" s="88"/>
      <c r="E7" s="88"/>
      <c r="F7" s="88"/>
      <c r="G7" s="89"/>
      <c r="H7" s="89"/>
      <c r="I7" s="89"/>
      <c r="J7" s="89"/>
      <c r="K7" s="89"/>
      <c r="L7" s="89"/>
    </row>
    <row r="8" spans="2:16" ht="30.75" customHeight="1" x14ac:dyDescent="0.25">
      <c r="B8" s="80" t="s">
        <v>5</v>
      </c>
      <c r="C8" s="80"/>
      <c r="D8" s="1" t="s">
        <v>6</v>
      </c>
      <c r="E8" s="90" t="s">
        <v>7</v>
      </c>
      <c r="F8" s="90"/>
      <c r="G8" s="90"/>
      <c r="H8" s="66" t="s">
        <v>8</v>
      </c>
      <c r="I8" s="66"/>
      <c r="J8" s="66"/>
      <c r="K8" s="66"/>
      <c r="L8" s="66"/>
    </row>
    <row r="9" spans="2:16" ht="39.75" customHeight="1" x14ac:dyDescent="0.25">
      <c r="B9" s="84">
        <v>686186</v>
      </c>
      <c r="C9" s="84"/>
      <c r="D9" s="63">
        <v>46266</v>
      </c>
      <c r="E9" s="85">
        <v>263.17</v>
      </c>
      <c r="F9" s="85"/>
      <c r="G9" s="85"/>
      <c r="H9" s="86">
        <f>E9</f>
        <v>263.17</v>
      </c>
      <c r="I9" s="86"/>
      <c r="J9" s="86"/>
      <c r="K9" s="86"/>
      <c r="L9" s="86"/>
      <c r="P9" s="9"/>
    </row>
    <row r="10" spans="2:16" ht="26.25" customHeight="1" x14ac:dyDescent="0.25">
      <c r="B10" s="66" t="s">
        <v>9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</row>
    <row r="11" spans="2:16" ht="29.25" customHeight="1" x14ac:dyDescent="0.3">
      <c r="B11" s="87" t="s">
        <v>10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</row>
    <row r="12" spans="2:16" ht="29.25" customHeight="1" x14ac:dyDescent="0.25">
      <c r="B12" s="66" t="s">
        <v>11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</row>
    <row r="13" spans="2:16" ht="21.75" customHeight="1" x14ac:dyDescent="0.25"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</row>
    <row r="14" spans="2:16" ht="21.75" customHeight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</row>
    <row r="15" spans="2:16" ht="21.75" customHeight="1" x14ac:dyDescent="0.25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2"/>
    </row>
    <row r="16" spans="2:16" ht="21.75" customHeight="1" x14ac:dyDescent="0.25"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</row>
    <row r="17" spans="2:12" ht="27.75" customHeight="1" x14ac:dyDescent="0.25">
      <c r="B17" s="66" t="s">
        <v>12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</row>
    <row r="18" spans="2:12" ht="27.75" customHeight="1" x14ac:dyDescent="0.25">
      <c r="B18" s="78" t="s">
        <v>13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</row>
    <row r="19" spans="2:12" ht="103.5" customHeight="1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</row>
    <row r="20" spans="2:12" ht="21.75" customHeight="1" x14ac:dyDescent="0.25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8"/>
    </row>
    <row r="21" spans="2:12" ht="30" customHeight="1" x14ac:dyDescent="0.25">
      <c r="B21" s="66" t="s">
        <v>14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</row>
    <row r="22" spans="2:12" ht="36" customHeight="1" x14ac:dyDescent="0.25">
      <c r="B22" s="15" t="s">
        <v>15</v>
      </c>
      <c r="C22" s="16"/>
      <c r="D22" s="79" t="s">
        <v>16</v>
      </c>
      <c r="E22" s="79"/>
      <c r="F22" s="79"/>
      <c r="G22" s="79"/>
      <c r="H22" s="79"/>
      <c r="I22" s="79"/>
      <c r="J22" s="79"/>
      <c r="K22" s="79"/>
      <c r="L22" s="79"/>
    </row>
    <row r="23" spans="2:12" ht="24.75" customHeight="1" x14ac:dyDescent="0.25">
      <c r="B23" s="66" t="s">
        <v>17</v>
      </c>
      <c r="C23" s="66"/>
      <c r="D23" s="66" t="s">
        <v>18</v>
      </c>
      <c r="E23" s="66"/>
      <c r="F23" s="80" t="s">
        <v>19</v>
      </c>
      <c r="G23" s="80"/>
      <c r="H23" s="66" t="s">
        <v>20</v>
      </c>
      <c r="I23" s="66"/>
      <c r="J23" s="66"/>
      <c r="K23" s="66"/>
      <c r="L23" s="66"/>
    </row>
    <row r="24" spans="2:12" ht="24.75" customHeight="1" x14ac:dyDescent="0.25">
      <c r="B24" s="73"/>
      <c r="C24" s="73"/>
      <c r="D24" s="74"/>
      <c r="E24" s="74"/>
      <c r="F24" s="75"/>
      <c r="G24" s="75"/>
      <c r="H24" s="76"/>
      <c r="I24" s="76"/>
      <c r="J24" s="76"/>
      <c r="K24" s="76"/>
      <c r="L24" s="76"/>
    </row>
    <row r="25" spans="2:12" ht="24.75" customHeight="1" x14ac:dyDescent="0.25">
      <c r="B25" s="77" t="s">
        <v>21</v>
      </c>
      <c r="C25" s="77"/>
      <c r="D25" s="77"/>
      <c r="E25" s="77"/>
      <c r="F25" s="77"/>
      <c r="G25" s="77"/>
      <c r="H25" s="77"/>
      <c r="I25" s="77"/>
      <c r="J25" s="77"/>
      <c r="K25" s="77"/>
      <c r="L25" s="77"/>
    </row>
    <row r="26" spans="2:12" ht="209.25" customHeight="1" x14ac:dyDescent="0.25"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</row>
    <row r="27" spans="2:12" ht="96" customHeight="1" x14ac:dyDescent="0.25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17"/>
    </row>
    <row r="28" spans="2:12" ht="37.5" customHeight="1" x14ac:dyDescent="0.25">
      <c r="B28" s="71" t="s">
        <v>22</v>
      </c>
      <c r="C28" s="71"/>
      <c r="D28" s="71"/>
      <c r="E28" s="66" t="s">
        <v>23</v>
      </c>
      <c r="F28" s="66"/>
      <c r="G28" s="66"/>
      <c r="H28" s="66"/>
      <c r="I28" s="66"/>
      <c r="J28" s="66"/>
      <c r="K28" s="66"/>
      <c r="L28" s="18" t="s">
        <v>24</v>
      </c>
    </row>
    <row r="29" spans="2:12" ht="22.5" customHeight="1" x14ac:dyDescent="0.25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8"/>
    </row>
    <row r="30" spans="2:12" ht="36.75" customHeight="1" x14ac:dyDescent="0.25">
      <c r="B30" s="20" t="s">
        <v>25</v>
      </c>
      <c r="C30" s="21"/>
      <c r="D30" s="21"/>
      <c r="E30" s="21"/>
      <c r="F30" s="21"/>
      <c r="G30" s="21"/>
      <c r="H30" s="21"/>
      <c r="I30" s="21"/>
      <c r="J30" s="21"/>
      <c r="K30" s="22"/>
      <c r="L30" s="23" t="s">
        <v>26</v>
      </c>
    </row>
    <row r="31" spans="2:12" ht="32.25" customHeight="1" x14ac:dyDescent="0.25">
      <c r="B31" s="72" t="s">
        <v>27</v>
      </c>
      <c r="C31" s="72"/>
      <c r="D31" s="24">
        <v>46235</v>
      </c>
      <c r="F31" s="25"/>
      <c r="G31" s="25"/>
      <c r="H31" s="25"/>
      <c r="I31" s="25"/>
      <c r="J31" s="25"/>
      <c r="K31" s="26"/>
      <c r="L31" s="68"/>
    </row>
    <row r="32" spans="2:12" ht="29.25" customHeight="1" x14ac:dyDescent="0.25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8"/>
    </row>
    <row r="33" spans="2:12" ht="29.25" customHeight="1" x14ac:dyDescent="0.25">
      <c r="B33" s="69" t="s">
        <v>28</v>
      </c>
      <c r="C33" s="69"/>
      <c r="D33" s="69"/>
      <c r="E33" s="69"/>
      <c r="F33" s="69"/>
      <c r="G33" s="69"/>
      <c r="H33" s="69"/>
      <c r="I33" s="69"/>
      <c r="J33" s="69"/>
      <c r="K33" s="69"/>
      <c r="L33" s="68"/>
    </row>
    <row r="34" spans="2:12" ht="33.75" customHeight="1" x14ac:dyDescent="0.25">
      <c r="B34" s="69" t="s">
        <v>29</v>
      </c>
      <c r="C34" s="69"/>
      <c r="D34" s="69"/>
      <c r="E34" s="69"/>
      <c r="F34" s="69"/>
      <c r="G34" s="69"/>
      <c r="H34" s="69"/>
      <c r="I34" s="69"/>
      <c r="J34" s="69"/>
      <c r="K34" s="69"/>
      <c r="L34" s="27"/>
    </row>
    <row r="35" spans="2:12" ht="30.75" customHeight="1" x14ac:dyDescent="0.25">
      <c r="B35" s="64" t="s">
        <v>30</v>
      </c>
      <c r="C35" s="64"/>
      <c r="D35" s="64"/>
      <c r="E35" s="64"/>
      <c r="F35" s="64"/>
      <c r="G35" s="64"/>
      <c r="H35" s="64"/>
      <c r="I35" s="64"/>
      <c r="J35" s="64"/>
      <c r="K35" s="64"/>
      <c r="L35" s="28"/>
    </row>
    <row r="36" spans="2:12" ht="27.75" customHeight="1" x14ac:dyDescent="0.25">
      <c r="B36" s="64" t="s">
        <v>30</v>
      </c>
      <c r="C36" s="64"/>
      <c r="D36" s="64"/>
      <c r="E36" s="64"/>
      <c r="F36" s="64"/>
      <c r="G36" s="64"/>
      <c r="H36" s="64"/>
      <c r="I36" s="64"/>
      <c r="J36" s="64"/>
      <c r="K36" s="64"/>
      <c r="L36" s="28"/>
    </row>
    <row r="37" spans="2:12" ht="20.25" customHeight="1" x14ac:dyDescent="0.25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2:12" ht="21" customHeight="1" x14ac:dyDescent="0.25"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8"/>
    </row>
    <row r="39" spans="2:12" ht="15.75" x14ac:dyDescent="0.25">
      <c r="B39" s="32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2:12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2:12" ht="28.5" customHeight="1" x14ac:dyDescent="0.25">
      <c r="B41" s="66" t="s">
        <v>31</v>
      </c>
      <c r="C41" s="66"/>
      <c r="D41" s="66"/>
      <c r="E41" s="66"/>
      <c r="F41" s="66"/>
      <c r="G41" s="66"/>
      <c r="H41" s="66"/>
      <c r="I41" s="66"/>
      <c r="J41" s="66"/>
      <c r="K41" s="66"/>
      <c r="L41" s="33" t="s">
        <v>32</v>
      </c>
    </row>
    <row r="42" spans="2:12" ht="30" customHeight="1" x14ac:dyDescent="0.25">
      <c r="B42" s="34"/>
      <c r="C42" s="67"/>
      <c r="D42" s="67"/>
      <c r="E42" s="35"/>
      <c r="F42" s="35"/>
      <c r="G42" s="35"/>
      <c r="H42" s="35"/>
      <c r="I42" s="35"/>
      <c r="J42" s="35"/>
      <c r="K42" s="36"/>
      <c r="L42" s="68"/>
    </row>
    <row r="43" spans="2:12" ht="30" customHeight="1" x14ac:dyDescent="0.25">
      <c r="B43" s="34"/>
      <c r="C43" s="67"/>
      <c r="D43" s="67"/>
      <c r="E43" s="35"/>
      <c r="G43" s="35"/>
      <c r="H43" s="35"/>
      <c r="I43" s="35"/>
      <c r="J43" s="35"/>
      <c r="K43" s="36"/>
      <c r="L43" s="68"/>
    </row>
    <row r="44" spans="2:12" ht="30" customHeight="1" x14ac:dyDescent="0.25">
      <c r="B44" s="34"/>
      <c r="C44" s="67"/>
      <c r="D44" s="67"/>
      <c r="E44" s="35"/>
      <c r="F44" s="35"/>
      <c r="G44" s="35"/>
      <c r="H44" s="35"/>
      <c r="I44" s="35"/>
      <c r="J44" s="35"/>
      <c r="K44" s="36"/>
      <c r="L44" s="68"/>
    </row>
    <row r="45" spans="2:12" ht="29.25" customHeight="1" x14ac:dyDescent="0.25">
      <c r="B45" s="37"/>
      <c r="C45" s="38"/>
      <c r="D45" s="38"/>
      <c r="E45" s="38"/>
      <c r="F45" s="38"/>
      <c r="G45" s="38"/>
      <c r="H45" s="38"/>
      <c r="I45" s="38"/>
      <c r="J45" s="38"/>
      <c r="K45" s="39"/>
      <c r="L45" s="40"/>
    </row>
    <row r="46" spans="2:12" ht="36.75" customHeight="1" x14ac:dyDescent="0.25"/>
    <row r="47" spans="2:12" ht="22.5" customHeight="1" x14ac:dyDescent="0.25"/>
  </sheetData>
  <mergeCells count="50">
    <mergeCell ref="B3:L3"/>
    <mergeCell ref="B4:I4"/>
    <mergeCell ref="J4:L4"/>
    <mergeCell ref="B5:K5"/>
    <mergeCell ref="B6:F6"/>
    <mergeCell ref="G6:L6"/>
    <mergeCell ref="B7:F7"/>
    <mergeCell ref="G7:L7"/>
    <mergeCell ref="B8:C8"/>
    <mergeCell ref="E8:G8"/>
    <mergeCell ref="H8:L8"/>
    <mergeCell ref="B9:C9"/>
    <mergeCell ref="E9:G9"/>
    <mergeCell ref="H9:L9"/>
    <mergeCell ref="B10:L10"/>
    <mergeCell ref="B11:L11"/>
    <mergeCell ref="B12:L12"/>
    <mergeCell ref="B13:L13"/>
    <mergeCell ref="B14:L14"/>
    <mergeCell ref="B16:L16"/>
    <mergeCell ref="B17:L17"/>
    <mergeCell ref="B18:L19"/>
    <mergeCell ref="B21:L21"/>
    <mergeCell ref="D22:L22"/>
    <mergeCell ref="B23:C23"/>
    <mergeCell ref="D23:E23"/>
    <mergeCell ref="F23:G23"/>
    <mergeCell ref="H23:L23"/>
    <mergeCell ref="B24:C24"/>
    <mergeCell ref="D24:E24"/>
    <mergeCell ref="F24:G24"/>
    <mergeCell ref="H24:L24"/>
    <mergeCell ref="B25:L26"/>
    <mergeCell ref="B27:D27"/>
    <mergeCell ref="E27:K27"/>
    <mergeCell ref="B28:D28"/>
    <mergeCell ref="E28:K28"/>
    <mergeCell ref="B31:C31"/>
    <mergeCell ref="L31:L33"/>
    <mergeCell ref="B32:K32"/>
    <mergeCell ref="B33:K33"/>
    <mergeCell ref="B34:K34"/>
    <mergeCell ref="B35:K35"/>
    <mergeCell ref="B36:K36"/>
    <mergeCell ref="B38:K38"/>
    <mergeCell ref="B41:K41"/>
    <mergeCell ref="C42:D42"/>
    <mergeCell ref="L42:L44"/>
    <mergeCell ref="C43:D43"/>
    <mergeCell ref="C44:D44"/>
  </mergeCells>
  <printOptions horizontalCentered="1"/>
  <pageMargins left="0.196527777777778" right="0.196527777777778" top="0.78749999999999998" bottom="0.196527777777778" header="0.511811023622047" footer="0.511811023622047"/>
  <pageSetup paperSize="9" scale="40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9"/>
  <sheetViews>
    <sheetView tabSelected="1" zoomScale="115" zoomScaleNormal="115" workbookViewId="0">
      <selection activeCell="B65" sqref="B65:G65"/>
    </sheetView>
  </sheetViews>
  <sheetFormatPr defaultColWidth="8.7109375" defaultRowHeight="15" x14ac:dyDescent="0.25"/>
  <cols>
    <col min="1" max="1" width="16.7109375" customWidth="1"/>
    <col min="3" max="3" width="5.28515625" customWidth="1"/>
    <col min="4" max="4" width="12.28515625" customWidth="1"/>
    <col min="6" max="6" width="10.85546875" customWidth="1"/>
    <col min="7" max="7" width="7.85546875" customWidth="1"/>
    <col min="9" max="9" width="20.42578125" customWidth="1"/>
    <col min="11" max="11" width="13" customWidth="1"/>
  </cols>
  <sheetData>
    <row r="1" spans="1:13" ht="11.25" customHeight="1" x14ac:dyDescent="0.25">
      <c r="A1" s="100" t="s">
        <v>33</v>
      </c>
      <c r="B1" s="100"/>
      <c r="C1" s="100"/>
      <c r="D1" s="100"/>
      <c r="E1" s="100"/>
      <c r="F1" s="100"/>
      <c r="G1" s="100"/>
      <c r="H1" s="100"/>
      <c r="I1" s="100"/>
      <c r="J1" s="41"/>
      <c r="K1" s="41"/>
      <c r="L1" s="41"/>
      <c r="M1" s="41"/>
    </row>
    <row r="2" spans="1:13" ht="11.25" customHeight="1" x14ac:dyDescent="0.25">
      <c r="A2" s="100"/>
      <c r="B2" s="100"/>
      <c r="C2" s="100"/>
      <c r="D2" s="100"/>
      <c r="E2" s="100"/>
      <c r="F2" s="100"/>
      <c r="G2" s="100"/>
      <c r="H2" s="100"/>
      <c r="I2" s="100"/>
      <c r="J2" s="41"/>
      <c r="K2" s="41"/>
      <c r="L2" s="41"/>
      <c r="M2" s="41"/>
    </row>
    <row r="3" spans="1:13" ht="11.25" customHeight="1" x14ac:dyDescent="0.25">
      <c r="A3" s="100"/>
      <c r="B3" s="100"/>
      <c r="C3" s="100"/>
      <c r="D3" s="100"/>
      <c r="E3" s="100"/>
      <c r="F3" s="100"/>
      <c r="G3" s="100"/>
      <c r="H3" s="100"/>
      <c r="I3" s="100"/>
      <c r="J3" s="41"/>
      <c r="K3" s="41"/>
      <c r="L3" s="41"/>
      <c r="M3" s="41"/>
    </row>
    <row r="4" spans="1:13" ht="11.25" customHeight="1" x14ac:dyDescent="0.25">
      <c r="A4" s="100"/>
      <c r="B4" s="100"/>
      <c r="C4" s="100"/>
      <c r="D4" s="100"/>
      <c r="E4" s="100"/>
      <c r="F4" s="100"/>
      <c r="G4" s="100"/>
      <c r="H4" s="100"/>
      <c r="I4" s="100"/>
      <c r="J4" s="41"/>
      <c r="K4" s="41"/>
      <c r="L4" s="41"/>
      <c r="M4" s="41"/>
    </row>
    <row r="5" spans="1:13" ht="11.25" customHeight="1" x14ac:dyDescent="0.25">
      <c r="A5" s="100"/>
      <c r="B5" s="100"/>
      <c r="C5" s="100"/>
      <c r="D5" s="100"/>
      <c r="E5" s="100"/>
      <c r="F5" s="100"/>
      <c r="G5" s="100"/>
      <c r="H5" s="100"/>
      <c r="I5" s="100"/>
      <c r="J5" s="41"/>
      <c r="K5" s="41"/>
      <c r="L5" s="41"/>
      <c r="M5" s="41"/>
    </row>
    <row r="6" spans="1:13" ht="11.25" customHeight="1" x14ac:dyDescent="0.25">
      <c r="A6" s="42" t="s">
        <v>34</v>
      </c>
      <c r="B6" s="101" t="str">
        <f>CHE!B7</f>
        <v>Telefônica Brasil S.A.</v>
      </c>
      <c r="C6" s="101"/>
      <c r="D6" s="101"/>
      <c r="E6" s="101"/>
      <c r="F6" s="101"/>
      <c r="G6" s="101"/>
      <c r="H6" s="101"/>
      <c r="I6" s="101"/>
      <c r="J6" s="41"/>
      <c r="K6" s="41"/>
      <c r="L6" s="41"/>
      <c r="M6" s="41"/>
    </row>
    <row r="7" spans="1:13" ht="11.25" customHeight="1" x14ac:dyDescent="0.25">
      <c r="A7" s="43" t="s">
        <v>35</v>
      </c>
      <c r="B7" s="102">
        <f>CHE!B9</f>
        <v>686186</v>
      </c>
      <c r="C7" s="102"/>
      <c r="D7" s="44" t="s">
        <v>36</v>
      </c>
      <c r="E7" s="103">
        <v>46232</v>
      </c>
      <c r="F7" s="103"/>
      <c r="G7" s="45" t="s">
        <v>37</v>
      </c>
      <c r="H7" s="104">
        <f>CHE!H9</f>
        <v>263.17</v>
      </c>
      <c r="I7" s="104"/>
      <c r="J7" s="41"/>
      <c r="K7" s="41"/>
      <c r="L7" s="41"/>
      <c r="M7" s="41"/>
    </row>
    <row r="8" spans="1:13" ht="11.25" customHeight="1" x14ac:dyDescent="0.25">
      <c r="A8" s="46" t="s">
        <v>38</v>
      </c>
      <c r="B8" s="105">
        <f>CHE!D31</f>
        <v>46235</v>
      </c>
      <c r="C8" s="105"/>
      <c r="D8" s="105"/>
      <c r="E8" s="105"/>
      <c r="F8" s="105"/>
      <c r="G8" s="105"/>
      <c r="H8" s="105"/>
      <c r="I8" s="105"/>
      <c r="J8" s="41" t="s">
        <v>37</v>
      </c>
      <c r="K8" s="47">
        <f>CHE!H9</f>
        <v>263.17</v>
      </c>
      <c r="L8" s="41"/>
      <c r="M8" s="41"/>
    </row>
    <row r="9" spans="1:13" ht="11.25" customHeight="1" x14ac:dyDescent="0.25">
      <c r="A9" s="48"/>
      <c r="B9" s="49"/>
      <c r="C9" s="49"/>
      <c r="D9" s="49"/>
      <c r="E9" s="49"/>
      <c r="F9" s="49"/>
      <c r="G9" s="49"/>
      <c r="H9" s="49"/>
      <c r="I9" s="49"/>
      <c r="J9" s="41"/>
      <c r="K9" s="41"/>
      <c r="L9" s="41"/>
      <c r="M9" s="41"/>
    </row>
    <row r="10" spans="1:13" ht="9.75" customHeight="1" x14ac:dyDescent="0.25">
      <c r="A10" s="50" t="s">
        <v>39</v>
      </c>
      <c r="B10" s="106" t="s">
        <v>40</v>
      </c>
      <c r="C10" s="106"/>
      <c r="D10" s="106"/>
      <c r="E10" s="106"/>
      <c r="F10" s="106"/>
      <c r="G10" s="106"/>
      <c r="H10" s="107" t="s">
        <v>37</v>
      </c>
      <c r="I10" s="107"/>
      <c r="J10" s="41"/>
      <c r="K10" s="41"/>
      <c r="L10" s="41" t="s">
        <v>41</v>
      </c>
      <c r="M10" s="41"/>
    </row>
    <row r="11" spans="1:13" ht="9.75" customHeight="1" x14ac:dyDescent="0.25">
      <c r="A11" s="51">
        <v>202071</v>
      </c>
      <c r="B11" s="97" t="s">
        <v>42</v>
      </c>
      <c r="C11" s="97"/>
      <c r="D11" s="97"/>
      <c r="E11" s="97"/>
      <c r="F11" s="97"/>
      <c r="G11" s="97"/>
      <c r="H11" s="108">
        <f t="shared" ref="H11:H42" si="0">(K$8/L$67)*L11</f>
        <v>2.3085087719298247</v>
      </c>
      <c r="I11" s="108"/>
      <c r="J11" s="41"/>
      <c r="K11" s="41"/>
      <c r="L11" s="52">
        <v>1</v>
      </c>
      <c r="M11" s="41"/>
    </row>
    <row r="12" spans="1:13" ht="9.75" customHeight="1" x14ac:dyDescent="0.25">
      <c r="A12" s="51">
        <v>202031</v>
      </c>
      <c r="B12" s="97" t="s">
        <v>43</v>
      </c>
      <c r="C12" s="97"/>
      <c r="D12" s="97"/>
      <c r="E12" s="97"/>
      <c r="F12" s="97"/>
      <c r="G12" s="97"/>
      <c r="H12" s="99">
        <f t="shared" si="0"/>
        <v>2.3085087719298247</v>
      </c>
      <c r="I12" s="99"/>
      <c r="J12" s="41"/>
      <c r="K12" s="41"/>
      <c r="L12" s="53">
        <v>1</v>
      </c>
      <c r="M12" s="41"/>
    </row>
    <row r="13" spans="1:13" ht="9.75" customHeight="1" x14ac:dyDescent="0.25">
      <c r="A13" s="51">
        <v>202057</v>
      </c>
      <c r="B13" s="97" t="s">
        <v>44</v>
      </c>
      <c r="C13" s="97"/>
      <c r="D13" s="97"/>
      <c r="E13" s="97"/>
      <c r="F13" s="97"/>
      <c r="G13" s="97"/>
      <c r="H13" s="98">
        <f t="shared" si="0"/>
        <v>6.9255263157894742</v>
      </c>
      <c r="I13" s="98"/>
      <c r="J13" s="41"/>
      <c r="K13" s="41"/>
      <c r="L13" s="52">
        <v>3</v>
      </c>
      <c r="M13" s="41"/>
    </row>
    <row r="14" spans="1:13" ht="9.75" customHeight="1" x14ac:dyDescent="0.25">
      <c r="A14" s="51">
        <v>202058</v>
      </c>
      <c r="B14" s="97" t="s">
        <v>45</v>
      </c>
      <c r="C14" s="97"/>
      <c r="D14" s="97"/>
      <c r="E14" s="97"/>
      <c r="F14" s="97"/>
      <c r="G14" s="97"/>
      <c r="H14" s="98">
        <f t="shared" si="0"/>
        <v>2.3085087719298247</v>
      </c>
      <c r="I14" s="98"/>
      <c r="J14" s="41"/>
      <c r="K14" s="41"/>
      <c r="L14" s="52">
        <v>1</v>
      </c>
      <c r="M14" s="41"/>
    </row>
    <row r="15" spans="1:13" ht="9.75" customHeight="1" x14ac:dyDescent="0.25">
      <c r="A15" s="51">
        <v>202080</v>
      </c>
      <c r="B15" s="97" t="s">
        <v>46</v>
      </c>
      <c r="C15" s="97"/>
      <c r="D15" s="97"/>
      <c r="E15" s="97"/>
      <c r="F15" s="97"/>
      <c r="G15" s="97"/>
      <c r="H15" s="98">
        <f t="shared" si="0"/>
        <v>6.9255263157894742</v>
      </c>
      <c r="I15" s="98"/>
      <c r="J15" s="41"/>
      <c r="K15" s="41"/>
      <c r="L15" s="52">
        <v>3</v>
      </c>
      <c r="M15" s="41"/>
    </row>
    <row r="16" spans="1:13" ht="13.5" customHeight="1" x14ac:dyDescent="0.25">
      <c r="A16" s="51">
        <v>202061</v>
      </c>
      <c r="B16" s="97" t="s">
        <v>47</v>
      </c>
      <c r="C16" s="97"/>
      <c r="D16" s="97"/>
      <c r="E16" s="97"/>
      <c r="F16" s="97"/>
      <c r="G16" s="97"/>
      <c r="H16" s="98">
        <f t="shared" si="0"/>
        <v>4.6170175438596495</v>
      </c>
      <c r="I16" s="98"/>
      <c r="J16" s="41"/>
      <c r="K16" s="41"/>
      <c r="L16" s="53">
        <v>2</v>
      </c>
      <c r="M16" s="41"/>
    </row>
    <row r="17" spans="1:13" ht="9.75" customHeight="1" x14ac:dyDescent="0.25">
      <c r="A17" s="51">
        <v>202062</v>
      </c>
      <c r="B17" s="97" t="s">
        <v>48</v>
      </c>
      <c r="C17" s="97"/>
      <c r="D17" s="97"/>
      <c r="E17" s="97"/>
      <c r="F17" s="97"/>
      <c r="G17" s="97"/>
      <c r="H17" s="98">
        <f t="shared" si="0"/>
        <v>2.3085087719298247</v>
      </c>
      <c r="I17" s="98"/>
      <c r="J17" s="41"/>
      <c r="K17" s="41"/>
      <c r="L17" s="52">
        <v>1</v>
      </c>
      <c r="M17" s="41"/>
    </row>
    <row r="18" spans="1:13" ht="9.75" customHeight="1" x14ac:dyDescent="0.25">
      <c r="A18" s="51">
        <v>202125</v>
      </c>
      <c r="B18" s="97" t="s">
        <v>49</v>
      </c>
      <c r="C18" s="97"/>
      <c r="D18" s="97"/>
      <c r="E18" s="97"/>
      <c r="F18" s="97"/>
      <c r="G18" s="97"/>
      <c r="H18" s="98">
        <f t="shared" si="0"/>
        <v>2.3085087719298247</v>
      </c>
      <c r="I18" s="98"/>
      <c r="J18" s="41"/>
      <c r="K18" s="41"/>
      <c r="L18" s="52">
        <v>1</v>
      </c>
      <c r="M18" s="41"/>
    </row>
    <row r="19" spans="1:13" ht="9.75" customHeight="1" x14ac:dyDescent="0.25">
      <c r="A19" s="51">
        <v>202021</v>
      </c>
      <c r="B19" s="97" t="s">
        <v>50</v>
      </c>
      <c r="C19" s="97"/>
      <c r="D19" s="97"/>
      <c r="E19" s="97"/>
      <c r="F19" s="97"/>
      <c r="G19" s="97"/>
      <c r="H19" s="98">
        <f t="shared" si="0"/>
        <v>2.3085087719298247</v>
      </c>
      <c r="I19" s="98"/>
      <c r="J19" s="41"/>
      <c r="K19" s="41"/>
      <c r="L19" s="52">
        <v>1</v>
      </c>
      <c r="M19" s="41"/>
    </row>
    <row r="20" spans="1:13" ht="9.75" customHeight="1" x14ac:dyDescent="0.25">
      <c r="A20" s="51">
        <v>202004</v>
      </c>
      <c r="B20" s="97" t="s">
        <v>51</v>
      </c>
      <c r="C20" s="97"/>
      <c r="D20" s="97"/>
      <c r="E20" s="97"/>
      <c r="F20" s="97"/>
      <c r="G20" s="97"/>
      <c r="H20" s="98">
        <f t="shared" si="0"/>
        <v>11.542543859649124</v>
      </c>
      <c r="I20" s="98"/>
      <c r="J20" s="41"/>
      <c r="K20" s="41"/>
      <c r="L20" s="52">
        <v>5</v>
      </c>
      <c r="M20" s="41"/>
    </row>
    <row r="21" spans="1:13" ht="9.75" customHeight="1" x14ac:dyDescent="0.25">
      <c r="A21" s="51">
        <v>202066</v>
      </c>
      <c r="B21" s="97" t="s">
        <v>52</v>
      </c>
      <c r="C21" s="97"/>
      <c r="D21" s="97"/>
      <c r="E21" s="97"/>
      <c r="F21" s="97"/>
      <c r="G21" s="97"/>
      <c r="H21" s="98">
        <f t="shared" si="0"/>
        <v>2.3085087719298247</v>
      </c>
      <c r="I21" s="98"/>
      <c r="J21" s="41"/>
      <c r="K21" s="41"/>
      <c r="L21" s="52">
        <v>1</v>
      </c>
      <c r="M21" s="41"/>
    </row>
    <row r="22" spans="1:13" ht="9.75" customHeight="1" x14ac:dyDescent="0.25">
      <c r="A22" s="51">
        <v>202008</v>
      </c>
      <c r="B22" s="97" t="s">
        <v>53</v>
      </c>
      <c r="C22" s="97"/>
      <c r="D22" s="97"/>
      <c r="E22" s="97"/>
      <c r="F22" s="97"/>
      <c r="G22" s="97"/>
      <c r="H22" s="98">
        <f t="shared" si="0"/>
        <v>2.3085087719298247</v>
      </c>
      <c r="I22" s="98"/>
      <c r="J22" s="41"/>
      <c r="K22" s="41"/>
      <c r="L22" s="52">
        <v>1</v>
      </c>
      <c r="M22" s="41"/>
    </row>
    <row r="23" spans="1:13" ht="9.75" customHeight="1" x14ac:dyDescent="0.25">
      <c r="A23" s="51">
        <v>202027</v>
      </c>
      <c r="B23" s="97" t="s">
        <v>54</v>
      </c>
      <c r="C23" s="97"/>
      <c r="D23" s="97"/>
      <c r="E23" s="97"/>
      <c r="F23" s="97"/>
      <c r="G23" s="97"/>
      <c r="H23" s="98">
        <f t="shared" si="0"/>
        <v>4.6170175438596495</v>
      </c>
      <c r="I23" s="98"/>
      <c r="J23" s="41"/>
      <c r="K23" s="41"/>
      <c r="L23" s="52">
        <v>2</v>
      </c>
      <c r="M23" s="41"/>
    </row>
    <row r="24" spans="1:13" ht="9.75" customHeight="1" x14ac:dyDescent="0.25">
      <c r="A24" s="51">
        <v>202034</v>
      </c>
      <c r="B24" s="97" t="s">
        <v>55</v>
      </c>
      <c r="C24" s="97"/>
      <c r="D24" s="97"/>
      <c r="E24" s="97"/>
      <c r="F24" s="97"/>
      <c r="G24" s="97"/>
      <c r="H24" s="98">
        <f t="shared" si="0"/>
        <v>13.851052631578948</v>
      </c>
      <c r="I24" s="98"/>
      <c r="J24" s="41"/>
      <c r="K24" s="41"/>
      <c r="L24" s="52">
        <v>6</v>
      </c>
      <c r="M24" s="54"/>
    </row>
    <row r="25" spans="1:13" ht="9.75" customHeight="1" x14ac:dyDescent="0.25">
      <c r="A25" s="51">
        <v>202032</v>
      </c>
      <c r="B25" s="97" t="s">
        <v>56</v>
      </c>
      <c r="C25" s="97"/>
      <c r="D25" s="97"/>
      <c r="E25" s="97"/>
      <c r="F25" s="97"/>
      <c r="G25" s="97"/>
      <c r="H25" s="98">
        <f t="shared" si="0"/>
        <v>2.3085087719298247</v>
      </c>
      <c r="I25" s="98"/>
      <c r="J25" s="41"/>
      <c r="K25" s="41"/>
      <c r="L25" s="52">
        <v>1</v>
      </c>
      <c r="M25" s="54"/>
    </row>
    <row r="26" spans="1:13" ht="9.75" customHeight="1" x14ac:dyDescent="0.25">
      <c r="A26" s="51">
        <v>202033</v>
      </c>
      <c r="B26" s="97" t="s">
        <v>57</v>
      </c>
      <c r="C26" s="97"/>
      <c r="D26" s="97"/>
      <c r="E26" s="97"/>
      <c r="F26" s="97"/>
      <c r="G26" s="97"/>
      <c r="H26" s="98">
        <f t="shared" si="0"/>
        <v>2.3085087719298247</v>
      </c>
      <c r="I26" s="98"/>
      <c r="J26" s="41"/>
      <c r="K26" s="41"/>
      <c r="L26" s="52">
        <v>1</v>
      </c>
      <c r="M26" s="54"/>
    </row>
    <row r="27" spans="1:13" ht="9.75" customHeight="1" x14ac:dyDescent="0.25">
      <c r="A27" s="51">
        <v>202012</v>
      </c>
      <c r="B27" s="97" t="s">
        <v>58</v>
      </c>
      <c r="C27" s="97"/>
      <c r="D27" s="97"/>
      <c r="E27" s="97"/>
      <c r="F27" s="97"/>
      <c r="G27" s="97"/>
      <c r="H27" s="98">
        <f t="shared" si="0"/>
        <v>2.3085087719298247</v>
      </c>
      <c r="I27" s="98"/>
      <c r="J27" s="41"/>
      <c r="K27" s="41"/>
      <c r="L27" s="52">
        <v>1</v>
      </c>
      <c r="M27" s="54"/>
    </row>
    <row r="28" spans="1:13" ht="9.75" customHeight="1" x14ac:dyDescent="0.25">
      <c r="A28" s="51">
        <v>202010</v>
      </c>
      <c r="B28" s="97" t="s">
        <v>59</v>
      </c>
      <c r="C28" s="97"/>
      <c r="D28" s="97"/>
      <c r="E28" s="97"/>
      <c r="F28" s="97"/>
      <c r="G28" s="97"/>
      <c r="H28" s="98">
        <f t="shared" si="0"/>
        <v>2.3085087719298247</v>
      </c>
      <c r="I28" s="98"/>
      <c r="J28" s="41"/>
      <c r="K28" s="41"/>
      <c r="L28" s="52">
        <v>1</v>
      </c>
      <c r="M28" s="54"/>
    </row>
    <row r="29" spans="1:13" ht="9.75" customHeight="1" x14ac:dyDescent="0.25">
      <c r="A29" s="51">
        <v>202018</v>
      </c>
      <c r="B29" s="97" t="s">
        <v>60</v>
      </c>
      <c r="C29" s="97"/>
      <c r="D29" s="97"/>
      <c r="E29" s="97"/>
      <c r="F29" s="97"/>
      <c r="G29" s="97"/>
      <c r="H29" s="98">
        <f t="shared" si="0"/>
        <v>2.3085087719298247</v>
      </c>
      <c r="I29" s="98"/>
      <c r="J29" s="41"/>
      <c r="K29" s="41"/>
      <c r="L29" s="52">
        <v>1</v>
      </c>
      <c r="M29" s="54"/>
    </row>
    <row r="30" spans="1:13" ht="9.75" customHeight="1" x14ac:dyDescent="0.25">
      <c r="A30" s="51">
        <v>202009</v>
      </c>
      <c r="B30" s="97" t="s">
        <v>61</v>
      </c>
      <c r="C30" s="97"/>
      <c r="D30" s="97"/>
      <c r="E30" s="97"/>
      <c r="F30" s="97"/>
      <c r="G30" s="97"/>
      <c r="H30" s="98">
        <f t="shared" si="0"/>
        <v>11.542543859649124</v>
      </c>
      <c r="I30" s="98"/>
      <c r="J30" s="41"/>
      <c r="K30" s="41"/>
      <c r="L30" s="52">
        <v>5</v>
      </c>
      <c r="M30" s="54"/>
    </row>
    <row r="31" spans="1:13" ht="9.75" customHeight="1" x14ac:dyDescent="0.25">
      <c r="A31" s="51">
        <v>202006</v>
      </c>
      <c r="B31" s="97" t="s">
        <v>62</v>
      </c>
      <c r="C31" s="97"/>
      <c r="D31" s="97"/>
      <c r="E31" s="97"/>
      <c r="F31" s="97"/>
      <c r="G31" s="97"/>
      <c r="H31" s="98">
        <f t="shared" si="0"/>
        <v>4.6170175438596495</v>
      </c>
      <c r="I31" s="98"/>
      <c r="J31" s="41"/>
      <c r="K31" s="41"/>
      <c r="L31" s="52">
        <v>2</v>
      </c>
      <c r="M31" s="54"/>
    </row>
    <row r="32" spans="1:13" ht="9.75" customHeight="1" x14ac:dyDescent="0.25">
      <c r="A32" s="51">
        <v>202005</v>
      </c>
      <c r="B32" s="97" t="s">
        <v>63</v>
      </c>
      <c r="C32" s="97"/>
      <c r="D32" s="97"/>
      <c r="E32" s="97"/>
      <c r="F32" s="97"/>
      <c r="G32" s="97"/>
      <c r="H32" s="98">
        <f t="shared" si="0"/>
        <v>11.542543859649124</v>
      </c>
      <c r="I32" s="98"/>
      <c r="J32" s="41"/>
      <c r="K32" s="41"/>
      <c r="L32" s="52">
        <v>5</v>
      </c>
      <c r="M32" s="54"/>
    </row>
    <row r="33" spans="1:15" ht="9.75" customHeight="1" x14ac:dyDescent="0.25">
      <c r="A33" s="51">
        <v>202130</v>
      </c>
      <c r="B33" s="97" t="s">
        <v>64</v>
      </c>
      <c r="C33" s="97"/>
      <c r="D33" s="97"/>
      <c r="E33" s="97"/>
      <c r="F33" s="97"/>
      <c r="G33" s="97"/>
      <c r="H33" s="98">
        <f t="shared" si="0"/>
        <v>2.3085087719298247</v>
      </c>
      <c r="I33" s="98"/>
      <c r="J33" s="41"/>
      <c r="K33" s="41"/>
      <c r="L33" s="52">
        <v>1</v>
      </c>
      <c r="M33" s="54"/>
    </row>
    <row r="34" spans="1:15" ht="9.75" customHeight="1" x14ac:dyDescent="0.25">
      <c r="A34" s="51">
        <v>202007</v>
      </c>
      <c r="B34" s="97" t="s">
        <v>65</v>
      </c>
      <c r="C34" s="97"/>
      <c r="D34" s="97"/>
      <c r="E34" s="97"/>
      <c r="F34" s="97"/>
      <c r="G34" s="97"/>
      <c r="H34" s="98">
        <f t="shared" si="0"/>
        <v>2.3085087719298247</v>
      </c>
      <c r="I34" s="98"/>
      <c r="J34" s="41"/>
      <c r="K34" s="41"/>
      <c r="L34" s="52">
        <v>1</v>
      </c>
      <c r="M34" s="54"/>
      <c r="O34" s="41"/>
    </row>
    <row r="35" spans="1:15" ht="9.75" customHeight="1" x14ac:dyDescent="0.25">
      <c r="A35" s="51">
        <v>202025</v>
      </c>
      <c r="B35" s="97" t="s">
        <v>66</v>
      </c>
      <c r="C35" s="97"/>
      <c r="D35" s="97"/>
      <c r="E35" s="97"/>
      <c r="F35" s="97"/>
      <c r="G35" s="97"/>
      <c r="H35" s="98">
        <f t="shared" si="0"/>
        <v>2.3085087719298247</v>
      </c>
      <c r="I35" s="98"/>
      <c r="J35" s="41"/>
      <c r="K35" s="41"/>
      <c r="L35" s="52">
        <v>1</v>
      </c>
      <c r="M35" s="54"/>
    </row>
    <row r="36" spans="1:15" ht="9.75" customHeight="1" x14ac:dyDescent="0.25">
      <c r="A36" s="51">
        <v>202026</v>
      </c>
      <c r="B36" s="97" t="s">
        <v>67</v>
      </c>
      <c r="C36" s="97"/>
      <c r="D36" s="97"/>
      <c r="E36" s="97"/>
      <c r="F36" s="97"/>
      <c r="G36" s="97"/>
      <c r="H36" s="98">
        <f t="shared" si="0"/>
        <v>2.3085087719298247</v>
      </c>
      <c r="I36" s="98"/>
      <c r="J36" s="41"/>
      <c r="K36" s="41"/>
      <c r="L36" s="52">
        <v>1</v>
      </c>
      <c r="M36" s="54"/>
    </row>
    <row r="37" spans="1:15" ht="9.75" customHeight="1" x14ac:dyDescent="0.25">
      <c r="A37" s="51">
        <v>202095</v>
      </c>
      <c r="B37" s="97" t="s">
        <v>68</v>
      </c>
      <c r="C37" s="97"/>
      <c r="D37" s="97"/>
      <c r="E37" s="97"/>
      <c r="F37" s="97"/>
      <c r="G37" s="97"/>
      <c r="H37" s="98">
        <f t="shared" si="0"/>
        <v>2.3085087719298247</v>
      </c>
      <c r="I37" s="98"/>
      <c r="J37" s="41"/>
      <c r="K37" s="41"/>
      <c r="L37" s="52">
        <v>1</v>
      </c>
      <c r="M37" s="54"/>
    </row>
    <row r="38" spans="1:15" ht="9.75" customHeight="1" x14ac:dyDescent="0.25">
      <c r="A38" s="51">
        <v>202070</v>
      </c>
      <c r="B38" s="97" t="s">
        <v>69</v>
      </c>
      <c r="C38" s="97"/>
      <c r="D38" s="97"/>
      <c r="E38" s="97"/>
      <c r="F38" s="97"/>
      <c r="G38" s="97"/>
      <c r="H38" s="98">
        <f t="shared" si="0"/>
        <v>2.3085087719298247</v>
      </c>
      <c r="I38" s="98"/>
      <c r="J38" s="41"/>
      <c r="K38" s="41"/>
      <c r="L38" s="52">
        <v>1</v>
      </c>
      <c r="M38" s="54"/>
    </row>
    <row r="39" spans="1:15" ht="9.75" customHeight="1" x14ac:dyDescent="0.25">
      <c r="A39" s="51">
        <v>202023</v>
      </c>
      <c r="B39" s="97" t="s">
        <v>70</v>
      </c>
      <c r="C39" s="97"/>
      <c r="D39" s="97"/>
      <c r="E39" s="97"/>
      <c r="F39" s="97"/>
      <c r="G39" s="97"/>
      <c r="H39" s="98">
        <f t="shared" si="0"/>
        <v>2.3085087719298247</v>
      </c>
      <c r="I39" s="98"/>
      <c r="J39" s="41"/>
      <c r="K39" s="41"/>
      <c r="L39" s="52">
        <v>1</v>
      </c>
      <c r="M39" s="54"/>
    </row>
    <row r="40" spans="1:15" ht="9.75" customHeight="1" x14ac:dyDescent="0.25">
      <c r="A40" s="51">
        <v>202086</v>
      </c>
      <c r="B40" s="97" t="s">
        <v>71</v>
      </c>
      <c r="C40" s="97"/>
      <c r="D40" s="97"/>
      <c r="E40" s="97"/>
      <c r="F40" s="97"/>
      <c r="G40" s="97"/>
      <c r="H40" s="98">
        <f t="shared" si="0"/>
        <v>2.3085087719298247</v>
      </c>
      <c r="I40" s="98"/>
      <c r="J40" s="41"/>
      <c r="K40" s="41"/>
      <c r="L40" s="52">
        <v>1</v>
      </c>
      <c r="M40" s="54"/>
    </row>
    <row r="41" spans="1:15" ht="9.75" customHeight="1" x14ac:dyDescent="0.25">
      <c r="A41" s="51">
        <v>202028</v>
      </c>
      <c r="B41" s="97" t="s">
        <v>72</v>
      </c>
      <c r="C41" s="97"/>
      <c r="D41" s="97"/>
      <c r="E41" s="97"/>
      <c r="F41" s="97"/>
      <c r="G41" s="97"/>
      <c r="H41" s="98">
        <f t="shared" si="0"/>
        <v>4.6170175438596495</v>
      </c>
      <c r="I41" s="98"/>
      <c r="J41" s="41"/>
      <c r="K41" s="41"/>
      <c r="L41" s="52">
        <v>2</v>
      </c>
      <c r="M41" s="54"/>
    </row>
    <row r="42" spans="1:15" ht="9.75" customHeight="1" x14ac:dyDescent="0.25">
      <c r="A42" s="51">
        <v>202037</v>
      </c>
      <c r="B42" s="97" t="s">
        <v>73</v>
      </c>
      <c r="C42" s="97"/>
      <c r="D42" s="97"/>
      <c r="E42" s="97"/>
      <c r="F42" s="97"/>
      <c r="G42" s="97"/>
      <c r="H42" s="98">
        <f t="shared" si="0"/>
        <v>6.9255263157894742</v>
      </c>
      <c r="I42" s="98"/>
      <c r="J42" s="41"/>
      <c r="K42" s="41"/>
      <c r="L42" s="52">
        <v>3</v>
      </c>
      <c r="M42" s="54"/>
    </row>
    <row r="43" spans="1:15" ht="9.75" customHeight="1" x14ac:dyDescent="0.25">
      <c r="A43" s="51">
        <v>202016</v>
      </c>
      <c r="B43" s="97" t="s">
        <v>74</v>
      </c>
      <c r="C43" s="97"/>
      <c r="D43" s="97"/>
      <c r="E43" s="97"/>
      <c r="F43" s="97"/>
      <c r="G43" s="97"/>
      <c r="H43" s="98">
        <f t="shared" ref="H43:H66" si="1">(K$8/L$67)*L43</f>
        <v>13.851052631578948</v>
      </c>
      <c r="I43" s="98"/>
      <c r="J43" s="41"/>
      <c r="K43" s="41"/>
      <c r="L43" s="52">
        <v>6</v>
      </c>
      <c r="M43" s="54"/>
    </row>
    <row r="44" spans="1:15" ht="9.75" customHeight="1" x14ac:dyDescent="0.25">
      <c r="A44" s="51">
        <v>202064</v>
      </c>
      <c r="B44" s="97" t="s">
        <v>75</v>
      </c>
      <c r="C44" s="97"/>
      <c r="D44" s="97"/>
      <c r="E44" s="97"/>
      <c r="F44" s="97"/>
      <c r="G44" s="97"/>
      <c r="H44" s="98">
        <f t="shared" si="1"/>
        <v>9.2340350877192989</v>
      </c>
      <c r="I44" s="98"/>
      <c r="J44" s="41"/>
      <c r="K44" s="41"/>
      <c r="L44" s="52">
        <v>4</v>
      </c>
      <c r="M44" s="54"/>
    </row>
    <row r="45" spans="1:15" ht="9.75" customHeight="1" x14ac:dyDescent="0.25">
      <c r="A45" s="51">
        <v>202015</v>
      </c>
      <c r="B45" s="97" t="s">
        <v>76</v>
      </c>
      <c r="C45" s="97"/>
      <c r="D45" s="97"/>
      <c r="E45" s="97"/>
      <c r="F45" s="97"/>
      <c r="G45" s="97"/>
      <c r="H45" s="98">
        <f t="shared" si="1"/>
        <v>2.3085087719298247</v>
      </c>
      <c r="I45" s="98"/>
      <c r="J45" s="41"/>
      <c r="K45" s="41"/>
      <c r="L45" s="52">
        <v>1</v>
      </c>
      <c r="M45" s="54"/>
    </row>
    <row r="46" spans="1:15" ht="9.75" customHeight="1" x14ac:dyDescent="0.25">
      <c r="A46" s="51">
        <v>202040</v>
      </c>
      <c r="B46" s="97" t="s">
        <v>77</v>
      </c>
      <c r="C46" s="97"/>
      <c r="D46" s="97"/>
      <c r="E46" s="97"/>
      <c r="F46" s="97"/>
      <c r="G46" s="97"/>
      <c r="H46" s="98">
        <f t="shared" si="1"/>
        <v>4.6170175438596495</v>
      </c>
      <c r="I46" s="98"/>
      <c r="J46" s="41"/>
      <c r="K46" s="41"/>
      <c r="L46" s="52">
        <v>2</v>
      </c>
      <c r="M46" s="54"/>
    </row>
    <row r="47" spans="1:15" ht="9.75" customHeight="1" x14ac:dyDescent="0.25">
      <c r="A47" s="51">
        <v>202068</v>
      </c>
      <c r="B47" s="97" t="s">
        <v>78</v>
      </c>
      <c r="C47" s="97"/>
      <c r="D47" s="97"/>
      <c r="E47" s="97"/>
      <c r="F47" s="97"/>
      <c r="G47" s="97"/>
      <c r="H47" s="98">
        <f t="shared" si="1"/>
        <v>4.6170175438596495</v>
      </c>
      <c r="I47" s="98"/>
      <c r="J47" s="41"/>
      <c r="K47" s="41"/>
      <c r="L47" s="52">
        <v>2</v>
      </c>
      <c r="M47" s="41"/>
    </row>
    <row r="48" spans="1:15" ht="9.75" customHeight="1" x14ac:dyDescent="0.25">
      <c r="A48" s="51">
        <v>202042</v>
      </c>
      <c r="B48" s="97" t="s">
        <v>79</v>
      </c>
      <c r="C48" s="97"/>
      <c r="D48" s="97"/>
      <c r="E48" s="97"/>
      <c r="F48" s="97"/>
      <c r="G48" s="97"/>
      <c r="H48" s="98">
        <f t="shared" si="1"/>
        <v>4.6170175438596495</v>
      </c>
      <c r="I48" s="98"/>
      <c r="J48" s="41"/>
      <c r="K48" s="41"/>
      <c r="L48" s="52">
        <v>2</v>
      </c>
      <c r="M48" s="41"/>
    </row>
    <row r="49" spans="1:13" ht="9.75" customHeight="1" x14ac:dyDescent="0.25">
      <c r="A49" s="51">
        <v>202043</v>
      </c>
      <c r="B49" s="97" t="s">
        <v>80</v>
      </c>
      <c r="C49" s="97"/>
      <c r="D49" s="97"/>
      <c r="E49" s="97"/>
      <c r="F49" s="97"/>
      <c r="G49" s="97"/>
      <c r="H49" s="98">
        <f t="shared" si="1"/>
        <v>2.3085087719298247</v>
      </c>
      <c r="I49" s="98"/>
      <c r="J49" s="41"/>
      <c r="K49" s="41"/>
      <c r="L49" s="52">
        <v>1</v>
      </c>
      <c r="M49" s="41"/>
    </row>
    <row r="50" spans="1:13" ht="9.75" customHeight="1" x14ac:dyDescent="0.25">
      <c r="A50" s="51">
        <v>202024</v>
      </c>
      <c r="B50" s="97" t="s">
        <v>81</v>
      </c>
      <c r="C50" s="97"/>
      <c r="D50" s="97"/>
      <c r="E50" s="97"/>
      <c r="F50" s="97"/>
      <c r="G50" s="97"/>
      <c r="H50" s="98">
        <f t="shared" si="1"/>
        <v>2.3085087719298247</v>
      </c>
      <c r="I50" s="98"/>
      <c r="J50" s="41"/>
      <c r="K50" s="41"/>
      <c r="L50" s="52">
        <v>1</v>
      </c>
      <c r="M50" s="41"/>
    </row>
    <row r="51" spans="1:13" ht="9.75" customHeight="1" x14ac:dyDescent="0.25">
      <c r="A51" s="51">
        <v>202036</v>
      </c>
      <c r="B51" s="97" t="s">
        <v>82</v>
      </c>
      <c r="C51" s="97"/>
      <c r="D51" s="97"/>
      <c r="E51" s="97"/>
      <c r="F51" s="97"/>
      <c r="G51" s="97"/>
      <c r="H51" s="98">
        <f t="shared" si="1"/>
        <v>2.3085087719298247</v>
      </c>
      <c r="I51" s="98"/>
      <c r="J51" s="41"/>
      <c r="K51" s="41"/>
      <c r="L51" s="52">
        <v>1</v>
      </c>
      <c r="M51" s="41"/>
    </row>
    <row r="52" spans="1:13" ht="9.75" customHeight="1" x14ac:dyDescent="0.25">
      <c r="A52" s="51">
        <v>202020</v>
      </c>
      <c r="B52" s="97" t="s">
        <v>83</v>
      </c>
      <c r="C52" s="97"/>
      <c r="D52" s="97"/>
      <c r="E52" s="97"/>
      <c r="F52" s="97"/>
      <c r="G52" s="97"/>
      <c r="H52" s="98">
        <f t="shared" si="1"/>
        <v>4.6170175438596495</v>
      </c>
      <c r="I52" s="98"/>
      <c r="J52" s="41"/>
      <c r="K52" s="41"/>
      <c r="L52" s="52">
        <v>2</v>
      </c>
      <c r="M52" s="41"/>
    </row>
    <row r="53" spans="1:13" ht="9.75" customHeight="1" x14ac:dyDescent="0.25">
      <c r="A53" s="51">
        <v>202030</v>
      </c>
      <c r="B53" s="97" t="s">
        <v>84</v>
      </c>
      <c r="C53" s="97"/>
      <c r="D53" s="97"/>
      <c r="E53" s="97"/>
      <c r="F53" s="97"/>
      <c r="G53" s="97"/>
      <c r="H53" s="98">
        <f t="shared" si="1"/>
        <v>11.542543859649124</v>
      </c>
      <c r="I53" s="98"/>
      <c r="J53" s="41"/>
      <c r="K53" s="41"/>
      <c r="L53" s="52">
        <v>5</v>
      </c>
      <c r="M53" s="41"/>
    </row>
    <row r="54" spans="1:13" ht="9.75" customHeight="1" x14ac:dyDescent="0.25">
      <c r="A54" s="51">
        <v>202019</v>
      </c>
      <c r="B54" s="97" t="s">
        <v>85</v>
      </c>
      <c r="C54" s="97"/>
      <c r="D54" s="97"/>
      <c r="E54" s="97"/>
      <c r="F54" s="97"/>
      <c r="G54" s="97"/>
      <c r="H54" s="98">
        <f t="shared" si="1"/>
        <v>2.3085087719298247</v>
      </c>
      <c r="I54" s="98"/>
      <c r="J54" s="41"/>
      <c r="K54" s="41"/>
      <c r="L54" s="52">
        <v>1</v>
      </c>
      <c r="M54" s="41"/>
    </row>
    <row r="55" spans="1:13" ht="9.75" customHeight="1" x14ac:dyDescent="0.25">
      <c r="A55" s="51">
        <v>202035</v>
      </c>
      <c r="B55" s="97" t="s">
        <v>86</v>
      </c>
      <c r="C55" s="97"/>
      <c r="D55" s="97"/>
      <c r="E55" s="97"/>
      <c r="F55" s="97"/>
      <c r="G55" s="97"/>
      <c r="H55" s="98">
        <f t="shared" si="1"/>
        <v>6.9255263157894742</v>
      </c>
      <c r="I55" s="98"/>
      <c r="J55" s="41"/>
      <c r="K55" s="41"/>
      <c r="L55" s="52">
        <v>3</v>
      </c>
      <c r="M55" s="41"/>
    </row>
    <row r="56" spans="1:13" ht="9.75" customHeight="1" x14ac:dyDescent="0.25">
      <c r="A56" s="51">
        <v>202022</v>
      </c>
      <c r="B56" s="97" t="s">
        <v>87</v>
      </c>
      <c r="C56" s="97"/>
      <c r="D56" s="97"/>
      <c r="E56" s="97"/>
      <c r="F56" s="97"/>
      <c r="G56" s="97"/>
      <c r="H56" s="98">
        <f t="shared" si="1"/>
        <v>4.6170175438596495</v>
      </c>
      <c r="I56" s="98"/>
      <c r="J56" s="41"/>
      <c r="K56" s="41"/>
      <c r="L56" s="52">
        <v>2</v>
      </c>
      <c r="M56" s="41"/>
    </row>
    <row r="57" spans="1:13" ht="9.75" customHeight="1" x14ac:dyDescent="0.25">
      <c r="A57" s="51">
        <v>202041</v>
      </c>
      <c r="B57" s="97" t="s">
        <v>88</v>
      </c>
      <c r="C57" s="97"/>
      <c r="D57" s="97"/>
      <c r="E57" s="97"/>
      <c r="F57" s="97"/>
      <c r="G57" s="97"/>
      <c r="H57" s="98">
        <f t="shared" si="1"/>
        <v>9.2340350877192989</v>
      </c>
      <c r="I57" s="98"/>
      <c r="J57" s="41"/>
      <c r="K57" s="41"/>
      <c r="L57" s="52">
        <v>4</v>
      </c>
      <c r="M57" s="41"/>
    </row>
    <row r="58" spans="1:13" ht="9.75" customHeight="1" x14ac:dyDescent="0.25">
      <c r="A58" s="51">
        <v>202045</v>
      </c>
      <c r="B58" s="97" t="s">
        <v>89</v>
      </c>
      <c r="C58" s="97"/>
      <c r="D58" s="97"/>
      <c r="E58" s="97"/>
      <c r="F58" s="97"/>
      <c r="G58" s="97"/>
      <c r="H58" s="98">
        <f t="shared" si="1"/>
        <v>2.3085087719298247</v>
      </c>
      <c r="I58" s="98"/>
      <c r="J58" s="41"/>
      <c r="K58" s="41"/>
      <c r="L58" s="52">
        <v>1</v>
      </c>
      <c r="M58" s="41"/>
    </row>
    <row r="59" spans="1:13" ht="9.75" customHeight="1" x14ac:dyDescent="0.25">
      <c r="A59" s="51">
        <v>202069</v>
      </c>
      <c r="B59" s="97" t="s">
        <v>90</v>
      </c>
      <c r="C59" s="97"/>
      <c r="D59" s="97"/>
      <c r="E59" s="97"/>
      <c r="F59" s="97"/>
      <c r="G59" s="97"/>
      <c r="H59" s="98">
        <f t="shared" si="1"/>
        <v>2.3085087719298247</v>
      </c>
      <c r="I59" s="98"/>
      <c r="J59" s="41"/>
      <c r="K59" s="41"/>
      <c r="L59" s="52">
        <v>1</v>
      </c>
      <c r="M59" s="41"/>
    </row>
    <row r="60" spans="1:13" ht="9.75" customHeight="1" x14ac:dyDescent="0.25">
      <c r="A60" s="51">
        <v>202051</v>
      </c>
      <c r="B60" s="97" t="s">
        <v>91</v>
      </c>
      <c r="C60" s="97"/>
      <c r="D60" s="97"/>
      <c r="E60" s="97"/>
      <c r="F60" s="97"/>
      <c r="G60" s="97"/>
      <c r="H60" s="98">
        <f t="shared" si="1"/>
        <v>4.6170175438596495</v>
      </c>
      <c r="I60" s="98"/>
      <c r="L60" s="52">
        <v>2</v>
      </c>
    </row>
    <row r="61" spans="1:13" ht="9.75" customHeight="1" x14ac:dyDescent="0.25">
      <c r="A61" s="51">
        <v>202052</v>
      </c>
      <c r="B61" s="97" t="s">
        <v>92</v>
      </c>
      <c r="C61" s="97"/>
      <c r="D61" s="97"/>
      <c r="E61" s="97"/>
      <c r="F61" s="97"/>
      <c r="G61" s="97"/>
      <c r="H61" s="98">
        <f t="shared" si="1"/>
        <v>4.6170175438596495</v>
      </c>
      <c r="I61" s="98"/>
      <c r="L61" s="52">
        <v>2</v>
      </c>
    </row>
    <row r="62" spans="1:13" ht="9.75" customHeight="1" x14ac:dyDescent="0.25">
      <c r="A62" s="51">
        <v>202053</v>
      </c>
      <c r="B62" s="97" t="s">
        <v>93</v>
      </c>
      <c r="C62" s="97"/>
      <c r="D62" s="97"/>
      <c r="E62" s="97"/>
      <c r="F62" s="97"/>
      <c r="G62" s="97"/>
      <c r="H62" s="98">
        <f t="shared" si="1"/>
        <v>4.6170175438596495</v>
      </c>
      <c r="I62" s="98"/>
      <c r="L62" s="52">
        <v>2</v>
      </c>
    </row>
    <row r="63" spans="1:13" ht="9.75" customHeight="1" x14ac:dyDescent="0.25">
      <c r="A63" s="51">
        <v>202054</v>
      </c>
      <c r="B63" s="97" t="s">
        <v>94</v>
      </c>
      <c r="C63" s="97"/>
      <c r="D63" s="97"/>
      <c r="E63" s="97"/>
      <c r="F63" s="97"/>
      <c r="G63" s="97"/>
      <c r="H63" s="98">
        <f t="shared" si="1"/>
        <v>4.6170175438596495</v>
      </c>
      <c r="I63" s="98"/>
      <c r="L63" s="52">
        <v>2</v>
      </c>
    </row>
    <row r="64" spans="1:13" ht="9.75" customHeight="1" x14ac:dyDescent="0.25">
      <c r="A64" s="51">
        <v>202067</v>
      </c>
      <c r="B64" s="97" t="s">
        <v>95</v>
      </c>
      <c r="C64" s="97"/>
      <c r="D64" s="97"/>
      <c r="E64" s="97"/>
      <c r="F64" s="97"/>
      <c r="G64" s="97"/>
      <c r="H64" s="98">
        <f t="shared" si="1"/>
        <v>2.3085087719298247</v>
      </c>
      <c r="I64" s="98"/>
      <c r="L64" s="52">
        <v>1</v>
      </c>
    </row>
    <row r="65" spans="1:12" ht="9.75" customHeight="1" x14ac:dyDescent="0.25">
      <c r="A65" s="51">
        <v>202059</v>
      </c>
      <c r="B65" s="97" t="s">
        <v>96</v>
      </c>
      <c r="C65" s="97"/>
      <c r="D65" s="97"/>
      <c r="E65" s="97"/>
      <c r="F65" s="97"/>
      <c r="G65" s="97"/>
      <c r="H65" s="98">
        <f t="shared" si="1"/>
        <v>9.2340350877192989</v>
      </c>
      <c r="I65" s="98"/>
      <c r="L65" s="52">
        <v>4</v>
      </c>
    </row>
    <row r="66" spans="1:12" ht="9.75" customHeight="1" x14ac:dyDescent="0.25">
      <c r="A66" s="51">
        <v>202060</v>
      </c>
      <c r="B66" s="97" t="s">
        <v>97</v>
      </c>
      <c r="C66" s="97"/>
      <c r="D66" s="97"/>
      <c r="E66" s="97"/>
      <c r="F66" s="97"/>
      <c r="G66" s="97"/>
      <c r="H66" s="98">
        <f t="shared" si="1"/>
        <v>6.9255263157894742</v>
      </c>
      <c r="I66" s="98"/>
      <c r="L66" s="52">
        <v>3</v>
      </c>
    </row>
    <row r="67" spans="1:12" ht="9.75" customHeight="1" x14ac:dyDescent="0.25">
      <c r="A67" s="55"/>
      <c r="B67" s="55"/>
      <c r="C67" s="55"/>
      <c r="D67" s="55"/>
      <c r="E67" s="55"/>
      <c r="F67" s="55"/>
      <c r="G67" s="55"/>
      <c r="H67" s="55"/>
      <c r="I67" s="56">
        <f>SUM(H11:I66)</f>
        <v>263.17000000000007</v>
      </c>
      <c r="L67" s="57">
        <f>SUM(L11:L66)</f>
        <v>114</v>
      </c>
    </row>
    <row r="68" spans="1:12" ht="9.75" customHeight="1" x14ac:dyDescent="0.25">
      <c r="A68" s="55"/>
      <c r="B68" s="55"/>
      <c r="C68" s="55"/>
      <c r="D68" s="55"/>
      <c r="E68" s="55"/>
      <c r="F68" s="55"/>
      <c r="G68" s="55"/>
      <c r="H68" s="55"/>
      <c r="I68" s="56"/>
      <c r="L68" s="58"/>
    </row>
    <row r="69" spans="1:12" ht="9.75" customHeight="1" x14ac:dyDescent="0.25">
      <c r="A69" s="59" t="s">
        <v>98</v>
      </c>
      <c r="B69" s="60" t="s">
        <v>100</v>
      </c>
      <c r="C69" s="61"/>
      <c r="D69" s="61"/>
      <c r="E69" s="61"/>
      <c r="F69" s="61"/>
      <c r="G69" s="62" t="s">
        <v>99</v>
      </c>
      <c r="H69" s="96">
        <f ca="1">TODAY()</f>
        <v>46267</v>
      </c>
      <c r="I69" s="96"/>
    </row>
  </sheetData>
  <mergeCells count="121">
    <mergeCell ref="A1:I5"/>
    <mergeCell ref="B6:I6"/>
    <mergeCell ref="B7:C7"/>
    <mergeCell ref="E7:F7"/>
    <mergeCell ref="H7:I7"/>
    <mergeCell ref="B8:I8"/>
    <mergeCell ref="B10:G10"/>
    <mergeCell ref="H10:I10"/>
    <mergeCell ref="B11:G11"/>
    <mergeCell ref="H11:I11"/>
    <mergeCell ref="B12:G12"/>
    <mergeCell ref="H12:I12"/>
    <mergeCell ref="B13:G13"/>
    <mergeCell ref="H13:I13"/>
    <mergeCell ref="B14:G14"/>
    <mergeCell ref="H14:I14"/>
    <mergeCell ref="B15:G15"/>
    <mergeCell ref="H15:I15"/>
    <mergeCell ref="B16:G16"/>
    <mergeCell ref="H16:I16"/>
    <mergeCell ref="B17:G17"/>
    <mergeCell ref="H17:I17"/>
    <mergeCell ref="B18:G18"/>
    <mergeCell ref="H18:I18"/>
    <mergeCell ref="B19:G19"/>
    <mergeCell ref="H19:I19"/>
    <mergeCell ref="B20:G20"/>
    <mergeCell ref="H20:I20"/>
    <mergeCell ref="B21:G21"/>
    <mergeCell ref="H21:I21"/>
    <mergeCell ref="B22:G22"/>
    <mergeCell ref="H22:I22"/>
    <mergeCell ref="B23:G23"/>
    <mergeCell ref="H23:I23"/>
    <mergeCell ref="B24:G24"/>
    <mergeCell ref="H24:I24"/>
    <mergeCell ref="B25:G25"/>
    <mergeCell ref="H25:I25"/>
    <mergeCell ref="B26:G26"/>
    <mergeCell ref="H26:I26"/>
    <mergeCell ref="B27:G27"/>
    <mergeCell ref="H27:I27"/>
    <mergeCell ref="B28:G28"/>
    <mergeCell ref="H28:I28"/>
    <mergeCell ref="B29:G29"/>
    <mergeCell ref="H29:I29"/>
    <mergeCell ref="B30:G30"/>
    <mergeCell ref="H30:I30"/>
    <mergeCell ref="B31:G31"/>
    <mergeCell ref="H31:I31"/>
    <mergeCell ref="B32:G32"/>
    <mergeCell ref="H32:I32"/>
    <mergeCell ref="B33:G33"/>
    <mergeCell ref="H33:I33"/>
    <mergeCell ref="B34:G34"/>
    <mergeCell ref="H34:I34"/>
    <mergeCell ref="B35:G35"/>
    <mergeCell ref="H35:I35"/>
    <mergeCell ref="B36:G36"/>
    <mergeCell ref="H36:I36"/>
    <mergeCell ref="B37:G37"/>
    <mergeCell ref="H37:I37"/>
    <mergeCell ref="B38:G38"/>
    <mergeCell ref="H38:I38"/>
    <mergeCell ref="B39:G39"/>
    <mergeCell ref="H39:I39"/>
    <mergeCell ref="B40:G40"/>
    <mergeCell ref="H40:I40"/>
    <mergeCell ref="B41:G41"/>
    <mergeCell ref="H41:I41"/>
    <mergeCell ref="B42:G42"/>
    <mergeCell ref="H42:I42"/>
    <mergeCell ref="B43:G43"/>
    <mergeCell ref="H43:I43"/>
    <mergeCell ref="B44:G44"/>
    <mergeCell ref="H44:I44"/>
    <mergeCell ref="B45:G45"/>
    <mergeCell ref="H45:I45"/>
    <mergeCell ref="B46:G46"/>
    <mergeCell ref="H46:I46"/>
    <mergeCell ref="B47:G47"/>
    <mergeCell ref="H47:I47"/>
    <mergeCell ref="B48:G48"/>
    <mergeCell ref="H48:I48"/>
    <mergeCell ref="B49:G49"/>
    <mergeCell ref="H49:I49"/>
    <mergeCell ref="B50:G50"/>
    <mergeCell ref="H50:I50"/>
    <mergeCell ref="B51:G51"/>
    <mergeCell ref="H51:I51"/>
    <mergeCell ref="B52:G52"/>
    <mergeCell ref="H52:I52"/>
    <mergeCell ref="B53:G53"/>
    <mergeCell ref="H53:I53"/>
    <mergeCell ref="B54:G54"/>
    <mergeCell ref="H54:I54"/>
    <mergeCell ref="B55:G55"/>
    <mergeCell ref="H55:I55"/>
    <mergeCell ref="B56:G56"/>
    <mergeCell ref="H56:I56"/>
    <mergeCell ref="B57:G57"/>
    <mergeCell ref="H57:I57"/>
    <mergeCell ref="B58:G58"/>
    <mergeCell ref="H58:I58"/>
    <mergeCell ref="B59:G59"/>
    <mergeCell ref="H59:I59"/>
    <mergeCell ref="B60:G60"/>
    <mergeCell ref="H60:I60"/>
    <mergeCell ref="B61:G61"/>
    <mergeCell ref="H61:I61"/>
    <mergeCell ref="H69:I69"/>
    <mergeCell ref="B62:G62"/>
    <mergeCell ref="H62:I62"/>
    <mergeCell ref="B63:G63"/>
    <mergeCell ref="H63:I63"/>
    <mergeCell ref="B64:G64"/>
    <mergeCell ref="H64:I64"/>
    <mergeCell ref="B65:G65"/>
    <mergeCell ref="H65:I65"/>
    <mergeCell ref="B66:G66"/>
    <mergeCell ref="H66:I66"/>
  </mergeCells>
  <pageMargins left="0.25" right="0.25" top="0.75" bottom="0.75" header="0.511811023622047" footer="0.511811023622047"/>
  <pageSetup paperSize="9" scale="99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CHE</vt:lpstr>
      <vt:lpstr>Rateio</vt:lpstr>
      <vt:lpstr>CHE!Area_de_impressao</vt:lpstr>
      <vt:lpstr>Rateio!Area_de_impressao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Menezes Silva</dc:creator>
  <dc:description/>
  <cp:lastModifiedBy>ALEXANDRE SIQUEIRA SOUZA COSTA - X0801681</cp:lastModifiedBy>
  <cp:revision>1</cp:revision>
  <cp:lastPrinted>2026-09-02T17:22:55Z</cp:lastPrinted>
  <dcterms:created xsi:type="dcterms:W3CDTF">2022-01-05T21:11:06Z</dcterms:created>
  <dcterms:modified xsi:type="dcterms:W3CDTF">2026-09-02T17:23:13Z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0x010100F750589DFECDA843B1CDC08C0AF7E91F</vt:lpwstr>
  </property>
</Properties>
</file>